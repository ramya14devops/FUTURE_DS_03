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992F2236-A75E-4811-9222-D1EA05A18E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9" i="1" l="1"/>
  <c r="F128" i="1"/>
  <c r="F1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I2" i="1"/>
  <c r="H2" i="1"/>
  <c r="H6" i="1" l="1"/>
</calcChain>
</file>

<file path=xl/sharedStrings.xml><?xml version="1.0" encoding="utf-8"?>
<sst xmlns="http://schemas.openxmlformats.org/spreadsheetml/2006/main" count="505" uniqueCount="150">
  <si>
    <t>Date</t>
  </si>
  <si>
    <t>Channel</t>
  </si>
  <si>
    <t>Campaign</t>
  </si>
  <si>
    <t>Device</t>
  </si>
  <si>
    <t>Visitors</t>
  </si>
  <si>
    <t>Leads</t>
  </si>
  <si>
    <t>Customers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</si>
  <si>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</si>
  <si>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</si>
  <si>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</si>
  <si>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</si>
  <si>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</si>
  <si>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</si>
  <si>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</si>
  <si>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</si>
  <si>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</si>
  <si>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</si>
  <si>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</si>
  <si>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</si>
  <si>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</si>
  <si>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</si>
  <si>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</si>
  <si>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</si>
  <si>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</si>
  <si>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</si>
  <si>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</si>
  <si>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</si>
  <si>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</si>
  <si>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</si>
  <si>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</si>
  <si>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</si>
  <si>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</si>
  <si>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</si>
  <si>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</si>
  <si>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</si>
  <si>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</si>
  <si>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</si>
  <si>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</si>
  <si>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</si>
  <si>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</si>
  <si>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</si>
  <si>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</si>
  <si>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</si>
  <si>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</si>
  <si>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</si>
  <si>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</si>
  <si>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</si>
  <si>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</si>
  <si>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</si>
  <si>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</si>
  <si>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</si>
  <si>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</si>
  <si>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</si>
  <si>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</si>
  <si>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</si>
  <si>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</si>
  <si>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</si>
  <si>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</si>
  <si>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</si>
  <si>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</si>
  <si>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</si>
  <si>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</si>
  <si>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</si>
  <si>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</si>
  <si>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</si>
  <si>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</si>
  <si>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</si>
  <si>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</si>
  <si>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</si>
  <si>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</si>
  <si>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</si>
  <si>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</si>
  <si>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</si>
  <si>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</si>
  <si>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</si>
  <si>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</si>
  <si>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</si>
  <si>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</si>
  <si>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</si>
  <si>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</si>
  <si>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</si>
  <si>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</si>
  <si>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</si>
  <si>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</si>
  <si>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</si>
  <si>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</si>
  <si>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</si>
  <si>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</si>
  <si>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</si>
  <si>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</si>
  <si>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</si>
  <si>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</si>
  <si>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</si>
  <si>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</si>
  <si>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</si>
  <si>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</si>
  <si>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</si>
  <si>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</si>
  <si>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</si>
  <si>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</si>
  <si>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</si>
  <si>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</si>
  <si>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</si>
  <si>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</si>
  <si>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</si>
  <si>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</si>
  <si>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</si>
  <si>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</si>
  <si>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</si>
  <si>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</si>
  <si>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</si>
  <si>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</si>
  <si>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</si>
  <si>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</si>
  <si>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</si>
  <si>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</si>
  <si>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</si>
  <si>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</si>
  <si>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</si>
  <si>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</si>
  <si>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</si>
  <si>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</si>
  <si>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</si>
  <si>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</si>
  <si>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</si>
  <si>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</si>
  <si>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</si>
  <si>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Facebook</t>
  </si>
  <si>
    <t>Instagram</t>
  </si>
  <si>
    <t>Email</t>
  </si>
  <si>
    <t>Organic</t>
  </si>
  <si>
    <t>Google Ads</t>
  </si>
  <si>
    <t>Campaign B</t>
  </si>
  <si>
    <t>Campaign A</t>
  </si>
  <si>
    <t>Campaign C</t>
  </si>
  <si>
    <t>Desktop</t>
  </si>
  <si>
    <t>Mobile</t>
  </si>
  <si>
    <t xml:space="preserve">Lead Conversion Rate </t>
  </si>
  <si>
    <t xml:space="preserve">Customer Conversion Rate </t>
  </si>
  <si>
    <t xml:space="preserve">Total Visitors </t>
  </si>
  <si>
    <t xml:space="preserve">Total Leads </t>
  </si>
  <si>
    <t xml:space="preserve">Total Customers </t>
  </si>
  <si>
    <t>Row Labels</t>
  </si>
  <si>
    <t>(blank)</t>
  </si>
  <si>
    <t>Grand Total</t>
  </si>
  <si>
    <t>Sum of Visitors</t>
  </si>
  <si>
    <t>Sum of Leads</t>
  </si>
  <si>
    <t>Sum of Customers</t>
  </si>
  <si>
    <t>Average of Lead Conversion Rate</t>
  </si>
  <si>
    <t>Average of Customer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</si>
</sst>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[marketing_funnel_dataset.xlsx]Sheet2!PivotTable1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</c:v>
                </c:pt>
                <c:pt idx="5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57192</c:v>
                </c:pt>
                <c:pt idx="1">
                  <c:v>67445</c:v>
                </c:pt>
                <c:pt idx="2">
                  <c:v>88239</c:v>
                </c:pt>
                <c:pt idx="3">
                  <c:v>52400</c:v>
                </c:pt>
                <c:pt idx="4">
                  <c:v>72159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5-4F54-A93A-B0E8AC93681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</c:v>
                </c:pt>
                <c:pt idx="5">
                  <c:v>(blank)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9210</c:v>
                </c:pt>
                <c:pt idx="1">
                  <c:v>12599</c:v>
                </c:pt>
                <c:pt idx="2">
                  <c:v>16117</c:v>
                </c:pt>
                <c:pt idx="3">
                  <c:v>8870</c:v>
                </c:pt>
                <c:pt idx="4">
                  <c:v>9609</c:v>
                </c:pt>
                <c:pt idx="5">
                  <c:v>413964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5-4F54-A93A-B0E8AC93681C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</c:v>
                </c:pt>
                <c:pt idx="5">
                  <c:v>(blank)</c:v>
                </c:pt>
              </c:strCache>
            </c:strRef>
          </c:cat>
          <c:val>
            <c:numRef>
              <c:f>Sheet2!$D$4:$D$10</c:f>
              <c:numCache>
                <c:formatCode>General</c:formatCode>
                <c:ptCount val="6"/>
                <c:pt idx="0">
                  <c:v>3437</c:v>
                </c:pt>
                <c:pt idx="1">
                  <c:v>3966</c:v>
                </c:pt>
                <c:pt idx="2">
                  <c:v>5808</c:v>
                </c:pt>
                <c:pt idx="3">
                  <c:v>3474</c:v>
                </c:pt>
                <c:pt idx="4">
                  <c:v>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5-4F54-A93A-B0E8AC93681C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Average of Lead Conversion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</c:v>
                </c:pt>
                <c:pt idx="5">
                  <c:v>(blank)</c:v>
                </c:pt>
              </c:strCache>
            </c:strRef>
          </c:cat>
          <c:val>
            <c:numRef>
              <c:f>Sheet2!$E$4:$E$10</c:f>
              <c:numCache>
                <c:formatCode>0.00%</c:formatCode>
                <c:ptCount val="6"/>
                <c:pt idx="0">
                  <c:v>0.16103650860260177</c:v>
                </c:pt>
                <c:pt idx="1">
                  <c:v>0.18680406256950108</c:v>
                </c:pt>
                <c:pt idx="2">
                  <c:v>0.18265166196353086</c:v>
                </c:pt>
                <c:pt idx="3">
                  <c:v>0.16927480916030535</c:v>
                </c:pt>
                <c:pt idx="4">
                  <c:v>0.13316426225418868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D5-4F54-A93A-B0E8AC93681C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Average of Customer Conversion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</c:v>
                </c:pt>
                <c:pt idx="5">
                  <c:v>(blank)</c:v>
                </c:pt>
              </c:strCache>
            </c:strRef>
          </c:cat>
          <c:val>
            <c:numRef>
              <c:f>Sheet2!$F$4:$F$10</c:f>
              <c:numCache>
                <c:formatCode>0.00%</c:formatCode>
                <c:ptCount val="6"/>
                <c:pt idx="0">
                  <c:v>0.37318132464712267</c:v>
                </c:pt>
                <c:pt idx="1">
                  <c:v>0.31478688784824194</c:v>
                </c:pt>
                <c:pt idx="2">
                  <c:v>0.36036483216479492</c:v>
                </c:pt>
                <c:pt idx="3">
                  <c:v>0.39165727170236753</c:v>
                </c:pt>
                <c:pt idx="4">
                  <c:v>0.35789364137787488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D5-4F54-A93A-B0E8AC936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009087"/>
        <c:axId val="1825009567"/>
      </c:barChart>
      <c:catAx>
        <c:axId val="182500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09567"/>
        <c:crosses val="autoZero"/>
        <c:auto val="1"/>
        <c:lblAlgn val="ctr"/>
        <c:lblOffset val="100"/>
        <c:noMultiLvlLbl val="0"/>
      </c:catAx>
      <c:valAx>
        <c:axId val="18250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0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1802130</xdr:colOff>
      <xdr:row>10</xdr:row>
      <xdr:rowOff>140970</xdr:rowOff>
    </xdr:from>
    <xdr:to>
      <xdr:col>5</xdr:col>
      <xdr:colOff>240030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50034-C635-0A27-07A7-A4725F9A0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117.365320138888" createdVersion="8" refreshedVersion="8" minRefreshableVersion="3" recordCount="129" xr:uid="{E632B5BA-34BE-4BE6-A2B1-D21B9592F2CD}">
  <cacheSource type="worksheet">
    <worksheetSource ref="A1:I1048576" sheet="Sheet1"/>
  </cacheSource>
  <cacheFields count="11">
    <cacheField name="Date" numFmtId="0">
      <sharedItems containsBlank="1"/>
    </cacheField>
    <cacheField name="Channel" numFmtId="0">
      <sharedItems containsBlank="1" count="6">
        <s v="Facebook"/>
        <s v="Instagram"/>
        <s v="Email"/>
        <s v="Organic"/>
        <s v="Google Ads"/>
        <m/>
      </sharedItems>
    </cacheField>
    <cacheField name="Campaign" numFmtId="0">
      <sharedItems containsBlank="1"/>
    </cacheField>
    <cacheField name="Device" numFmtId="0">
      <sharedItems containsBlank="1"/>
    </cacheField>
    <cacheField name="Visitors" numFmtId="0">
      <sharedItems containsBlank="1" containsMixedTypes="1" containsNumber="1" containsInteger="1" minValue="501" maxValue="4980"/>
    </cacheField>
    <cacheField name="Leads" numFmtId="0">
      <sharedItems containsString="0" containsBlank="1" containsNumber="1" containsInteger="1" minValue="30" maxValue="337435"/>
    </cacheField>
    <cacheField name="Customers" numFmtId="0">
      <sharedItems containsString="0" containsBlank="1" containsNumber="1" containsInteger="1" minValue="3" maxValue="720"/>
    </cacheField>
    <cacheField name="Lead Conversion Rate " numFmtId="0">
      <sharedItems containsString="0" containsBlank="1" containsNumber="1" minValue="5.0320670942279232E-2" maxValue="0.29941434846266474"/>
    </cacheField>
    <cacheField name="Customer Conversion Rate " numFmtId="0">
      <sharedItems containsString="0" containsBlank="1" containsNumber="1" minValue="9.0909090909090912E-2" maxValue="0.59357277882797732"/>
    </cacheField>
    <cacheField name="Lead Conversion Rate" numFmtId="0" formula="Leads/Visitors" databaseField="0"/>
    <cacheField name="Customer Conversion Rate" numFmtId="0" formula="Customers/Lead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2026-01-01"/>
    <x v="0"/>
    <s v="Campaign B"/>
    <s v="Desktop"/>
    <n v="734"/>
    <n v="153"/>
    <n v="53"/>
    <n v="0.20844686648501362"/>
    <n v="0.34640522875816993"/>
  </r>
  <r>
    <s v="2026-01-02"/>
    <x v="0"/>
    <s v="Campaign B"/>
    <s v="Desktop"/>
    <n v="3183"/>
    <n v="455"/>
    <n v="205"/>
    <n v="0.14294690543512409"/>
    <n v="0.45054945054945056"/>
  </r>
  <r>
    <s v="2026-01-03"/>
    <x v="1"/>
    <s v="Campaign A"/>
    <s v="Desktop"/>
    <n v="2011"/>
    <n v="563"/>
    <n v="98"/>
    <n v="0.27996021879661859"/>
    <n v="0.17406749555950266"/>
  </r>
  <r>
    <s v="2026-01-04"/>
    <x v="2"/>
    <s v="Campaign C"/>
    <s v="Mobile"/>
    <n v="4974"/>
    <n v="1142"/>
    <n v="659"/>
    <n v="0.22959388821873744"/>
    <n v="0.57705779334500873"/>
  </r>
  <r>
    <s v="2026-01-05"/>
    <x v="1"/>
    <s v="Campaign B"/>
    <s v="Desktop"/>
    <n v="1421"/>
    <n v="246"/>
    <n v="53"/>
    <n v="0.17311752287121746"/>
    <n v="0.21544715447154472"/>
  </r>
  <r>
    <s v="2026-01-06"/>
    <x v="3"/>
    <s v="Campaign C"/>
    <s v="Mobile"/>
    <n v="4524"/>
    <n v="528"/>
    <n v="300"/>
    <n v="0.11671087533156499"/>
    <n v="0.56818181818181823"/>
  </r>
  <r>
    <s v="2026-01-07"/>
    <x v="0"/>
    <s v="Campaign B"/>
    <s v="Desktop"/>
    <n v="4570"/>
    <n v="1133"/>
    <n v="532"/>
    <n v="0.24792122538293215"/>
    <n v="0.46954986760812001"/>
  </r>
  <r>
    <s v="2026-01-08"/>
    <x v="1"/>
    <s v="Campaign C"/>
    <s v="Desktop"/>
    <n v="4725"/>
    <n v="752"/>
    <n v="428"/>
    <n v="0.15915343915343916"/>
    <n v="0.56914893617021278"/>
  </r>
  <r>
    <s v="2026-01-09"/>
    <x v="4"/>
    <s v="Campaign A"/>
    <s v="Mobile"/>
    <n v="3595"/>
    <n v="587"/>
    <n v="129"/>
    <n v="0.16328233657858135"/>
    <n v="0.21976149914821125"/>
  </r>
  <r>
    <s v="2026-01-10"/>
    <x v="1"/>
    <s v="Campaign B"/>
    <s v="Mobile"/>
    <n v="1303"/>
    <n v="199"/>
    <n v="52"/>
    <n v="0.15272448196469685"/>
    <n v="0.2613065326633166"/>
  </r>
  <r>
    <s v="2026-01-11"/>
    <x v="0"/>
    <s v="Campaign A"/>
    <s v="Mobile"/>
    <n v="4085"/>
    <n v="740"/>
    <n v="267"/>
    <n v="0.18115055079559364"/>
    <n v="0.36081081081081079"/>
  </r>
  <r>
    <s v="2026-01-12"/>
    <x v="4"/>
    <s v="Campaign C"/>
    <s v="Desktop"/>
    <n v="4615"/>
    <n v="1007"/>
    <n v="405"/>
    <n v="0.2182015167930661"/>
    <n v="0.40218470705064546"/>
  </r>
  <r>
    <s v="2026-01-13"/>
    <x v="4"/>
    <s v="Campaign A"/>
    <s v="Desktop"/>
    <n v="3303"/>
    <n v="452"/>
    <n v="261"/>
    <n v="0.13684529215864366"/>
    <n v="0.57743362831858402"/>
  </r>
  <r>
    <s v="2026-01-14"/>
    <x v="2"/>
    <s v="Campaign B"/>
    <s v="Desktop"/>
    <n v="3251"/>
    <n v="189"/>
    <n v="64"/>
    <n v="5.8135958166717933E-2"/>
    <n v="0.33862433862433861"/>
  </r>
  <r>
    <s v="2026-01-15"/>
    <x v="0"/>
    <s v="Campaign C"/>
    <s v="Mobile"/>
    <n v="4883"/>
    <n v="1142"/>
    <n v="288"/>
    <n v="0.2338726192914192"/>
    <n v="0.2521891418563923"/>
  </r>
  <r>
    <s v="2026-01-16"/>
    <x v="4"/>
    <s v="Campaign C"/>
    <s v="Desktop"/>
    <n v="501"/>
    <n v="61"/>
    <n v="19"/>
    <n v="0.1217564870259481"/>
    <n v="0.31147540983606559"/>
  </r>
  <r>
    <s v="2026-01-17"/>
    <x v="2"/>
    <s v="Campaign B"/>
    <s v="Mobile"/>
    <n v="715"/>
    <n v="131"/>
    <n v="33"/>
    <n v="0.18321678321678322"/>
    <n v="0.25190839694656486"/>
  </r>
  <r>
    <s v="2026-01-18"/>
    <x v="4"/>
    <s v="Campaign C"/>
    <s v="Mobile"/>
    <n v="1297"/>
    <n v="334"/>
    <n v="76"/>
    <n v="0.25751734772552043"/>
    <n v="0.22754491017964071"/>
  </r>
  <r>
    <s v="2026-01-19"/>
    <x v="2"/>
    <s v="Campaign B"/>
    <s v="Mobile"/>
    <n v="1208"/>
    <n v="216"/>
    <n v="29"/>
    <n v="0.17880794701986755"/>
    <n v="0.13425925925925927"/>
  </r>
  <r>
    <s v="2026-01-20"/>
    <x v="4"/>
    <s v="Campaign C"/>
    <s v="Mobile"/>
    <n v="2726"/>
    <n v="250"/>
    <n v="62"/>
    <n v="9.1709464416727809E-2"/>
    <n v="0.248"/>
  </r>
  <r>
    <s v="2026-01-21"/>
    <x v="2"/>
    <s v="Campaign A"/>
    <s v="Mobile"/>
    <n v="3075"/>
    <n v="812"/>
    <n v="403"/>
    <n v="0.26406504065040648"/>
    <n v="0.4963054187192118"/>
  </r>
  <r>
    <s v="2026-01-22"/>
    <x v="0"/>
    <s v="Campaign B"/>
    <s v="Desktop"/>
    <n v="4959"/>
    <n v="1225"/>
    <n v="185"/>
    <n v="0.24702561000201653"/>
    <n v="0.15102040816326531"/>
  </r>
  <r>
    <s v="2026-01-23"/>
    <x v="2"/>
    <s v="Campaign C"/>
    <s v="Mobile"/>
    <n v="2579"/>
    <n v="759"/>
    <n v="404"/>
    <n v="0.29430011632415665"/>
    <n v="0.5322793148880105"/>
  </r>
  <r>
    <s v="2026-01-24"/>
    <x v="4"/>
    <s v="Campaign B"/>
    <s v="Mobile"/>
    <n v="2247"/>
    <n v="652"/>
    <n v="258"/>
    <n v="0.2901646639964397"/>
    <n v="0.39570552147239263"/>
  </r>
  <r>
    <s v="2026-01-25"/>
    <x v="4"/>
    <s v="Campaign A"/>
    <s v="Desktop"/>
    <n v="2295"/>
    <n v="231"/>
    <n v="45"/>
    <n v="0.10065359477124183"/>
    <n v="0.19480519480519481"/>
  </r>
  <r>
    <s v="2026-01-26"/>
    <x v="4"/>
    <s v="Campaign C"/>
    <s v="Mobile"/>
    <n v="3688"/>
    <n v="378"/>
    <n v="153"/>
    <n v="0.10249457700650759"/>
    <n v="0.40476190476190477"/>
  </r>
  <r>
    <s v="2026-01-27"/>
    <x v="2"/>
    <s v="Campaign B"/>
    <s v="Desktop"/>
    <n v="2921"/>
    <n v="379"/>
    <n v="131"/>
    <n v="0.12975008558712769"/>
    <n v="0.34564643799472294"/>
  </r>
  <r>
    <s v="2026-01-28"/>
    <x v="3"/>
    <s v="Campaign B"/>
    <s v="Desktop"/>
    <n v="4049"/>
    <n v="313"/>
    <n v="157"/>
    <n v="7.7303037787107926E-2"/>
    <n v="0.50159744408945683"/>
  </r>
  <r>
    <s v="2026-01-29"/>
    <x v="0"/>
    <s v="Campaign A"/>
    <s v="Desktop"/>
    <n v="4561"/>
    <n v="284"/>
    <n v="53"/>
    <n v="6.2267046700285024E-2"/>
    <n v="0.18661971830985916"/>
  </r>
  <r>
    <s v="2026-01-30"/>
    <x v="4"/>
    <s v="Campaign B"/>
    <s v="Mobile"/>
    <n v="4053"/>
    <n v="494"/>
    <n v="237"/>
    <n v="0.12188502343942759"/>
    <n v="0.47975708502024289"/>
  </r>
  <r>
    <s v="2026-01-31"/>
    <x v="4"/>
    <s v="Campaign B"/>
    <s v="Desktop"/>
    <n v="1419"/>
    <n v="257"/>
    <n v="96"/>
    <n v="0.18111346018322763"/>
    <n v="0.37354085603112841"/>
  </r>
  <r>
    <s v="2026-02-01"/>
    <x v="0"/>
    <s v="Campaign C"/>
    <s v="Desktop"/>
    <n v="2218"/>
    <n v="410"/>
    <n v="45"/>
    <n v="0.1848512173128945"/>
    <n v="0.10975609756097561"/>
  </r>
  <r>
    <s v="2026-02-02"/>
    <x v="2"/>
    <s v="Campaign A"/>
    <s v="Mobile"/>
    <n v="2459"/>
    <n v="725"/>
    <n v="304"/>
    <n v="0.29483529890199267"/>
    <n v="0.41931034482758622"/>
  </r>
  <r>
    <s v="2026-02-03"/>
    <x v="1"/>
    <s v="Campaign B"/>
    <s v="Mobile"/>
    <n v="1523"/>
    <n v="448"/>
    <n v="232"/>
    <n v="0.29415627051871307"/>
    <n v="0.5178571428571429"/>
  </r>
  <r>
    <s v="2026-02-04"/>
    <x v="1"/>
    <s v="Campaign B"/>
    <s v="Desktop"/>
    <n v="3227"/>
    <n v="346"/>
    <n v="168"/>
    <n v="0.10722032847846297"/>
    <n v="0.48554913294797686"/>
  </r>
  <r>
    <s v="2026-02-05"/>
    <x v="3"/>
    <s v="Campaign C"/>
    <s v="Desktop"/>
    <n v="4355"/>
    <n v="596"/>
    <n v="62"/>
    <n v="0.13685419058553386"/>
    <n v="0.1040268456375839"/>
  </r>
  <r>
    <s v="2026-02-06"/>
    <x v="0"/>
    <s v="Campaign C"/>
    <s v="Mobile"/>
    <n v="597"/>
    <n v="73"/>
    <n v="28"/>
    <n v="0.12227805695142378"/>
    <n v="0.38356164383561642"/>
  </r>
  <r>
    <s v="2026-02-07"/>
    <x v="3"/>
    <s v="Campaign C"/>
    <s v="Desktop"/>
    <n v="1645"/>
    <n v="85"/>
    <n v="19"/>
    <n v="5.1671732522796353E-2"/>
    <n v="0.22352941176470589"/>
  </r>
  <r>
    <s v="2026-02-08"/>
    <x v="4"/>
    <s v="Campaign C"/>
    <s v="Desktop"/>
    <n v="2448"/>
    <n v="327"/>
    <n v="62"/>
    <n v="0.13357843137254902"/>
    <n v="0.18960244648318042"/>
  </r>
  <r>
    <s v="2026-02-09"/>
    <x v="4"/>
    <s v="Campaign C"/>
    <s v="Mobile"/>
    <n v="3742"/>
    <n v="884"/>
    <n v="216"/>
    <n v="0.23623730625334047"/>
    <n v="0.24434389140271492"/>
  </r>
  <r>
    <s v="2026-02-10"/>
    <x v="2"/>
    <s v="Campaign C"/>
    <s v="Desktop"/>
    <n v="3548"/>
    <n v="397"/>
    <n v="232"/>
    <n v="0.11189402480270574"/>
    <n v="0.58438287153652391"/>
  </r>
  <r>
    <s v="2026-02-11"/>
    <x v="4"/>
    <s v="Campaign A"/>
    <s v="Desktop"/>
    <n v="3559"/>
    <n v="412"/>
    <n v="60"/>
    <n v="0.11576285473447598"/>
    <n v="0.14563106796116504"/>
  </r>
  <r>
    <s v="2026-02-12"/>
    <x v="0"/>
    <s v="Campaign C"/>
    <s v="Mobile"/>
    <n v="2989"/>
    <n v="622"/>
    <n v="70"/>
    <n v="0.20809635329541654"/>
    <n v="0.11254019292604502"/>
  </r>
  <r>
    <s v="2026-02-13"/>
    <x v="1"/>
    <s v="Campaign A"/>
    <s v="Mobile"/>
    <n v="3393"/>
    <n v="581"/>
    <n v="70"/>
    <n v="0.17123489537282641"/>
    <n v="0.12048192771084337"/>
  </r>
  <r>
    <s v="2026-02-14"/>
    <x v="3"/>
    <s v="Campaign A"/>
    <s v="Desktop"/>
    <n v="2621"/>
    <n v="321"/>
    <n v="52"/>
    <n v="0.12247233880198398"/>
    <n v="0.16199376947040497"/>
  </r>
  <r>
    <s v="2026-02-15"/>
    <x v="3"/>
    <s v="Campaign A"/>
    <s v="Mobile"/>
    <n v="959"/>
    <n v="49"/>
    <n v="12"/>
    <n v="5.1094890510948905E-2"/>
    <n v="0.24489795918367346"/>
  </r>
  <r>
    <s v="2026-02-16"/>
    <x v="4"/>
    <s v="Campaign C"/>
    <s v="Desktop"/>
    <n v="2477"/>
    <n v="304"/>
    <n v="40"/>
    <n v="0.12272910779168349"/>
    <n v="0.13157894736842105"/>
  </r>
  <r>
    <s v="2026-02-17"/>
    <x v="0"/>
    <s v="Campaign B"/>
    <s v="Mobile"/>
    <n v="1817"/>
    <n v="123"/>
    <n v="47"/>
    <n v="6.7694001100715467E-2"/>
    <n v="0.38211382113821141"/>
  </r>
  <r>
    <s v="2026-02-18"/>
    <x v="0"/>
    <s v="Campaign A"/>
    <s v="Desktop"/>
    <n v="3256"/>
    <n v="529"/>
    <n v="314"/>
    <n v="0.16246928746928746"/>
    <n v="0.59357277882797732"/>
  </r>
  <r>
    <s v="2026-02-19"/>
    <x v="3"/>
    <s v="Campaign B"/>
    <s v="Mobile"/>
    <n v="1625"/>
    <n v="123"/>
    <n v="21"/>
    <n v="7.5692307692307698E-2"/>
    <n v="0.17073170731707318"/>
  </r>
  <r>
    <s v="2026-02-20"/>
    <x v="3"/>
    <s v="Campaign A"/>
    <s v="Desktop"/>
    <n v="3933"/>
    <n v="264"/>
    <n v="45"/>
    <n v="6.7124332570556833E-2"/>
    <n v="0.17045454545454544"/>
  </r>
  <r>
    <s v="2026-02-21"/>
    <x v="4"/>
    <s v="Campaign A"/>
    <s v="Desktop"/>
    <n v="2027"/>
    <n v="102"/>
    <n v="32"/>
    <n v="5.0320670942279232E-2"/>
    <n v="0.31372549019607843"/>
  </r>
  <r>
    <s v="2026-02-22"/>
    <x v="2"/>
    <s v="Campaign A"/>
    <s v="Mobile"/>
    <n v="1045"/>
    <n v="173"/>
    <n v="52"/>
    <n v="0.16555023923444975"/>
    <n v="0.30057803468208094"/>
  </r>
  <r>
    <s v="2026-02-23"/>
    <x v="2"/>
    <s v="Campaign C"/>
    <s v="Desktop"/>
    <n v="3857"/>
    <n v="261"/>
    <n v="132"/>
    <n v="6.7669172932330823E-2"/>
    <n v="0.50574712643678166"/>
  </r>
  <r>
    <s v="2026-02-24"/>
    <x v="2"/>
    <s v="Campaign B"/>
    <s v="Mobile"/>
    <n v="2374"/>
    <n v="667"/>
    <n v="140"/>
    <n v="0.28096040438079189"/>
    <n v="0.20989505247376311"/>
  </r>
  <r>
    <s v="2026-02-25"/>
    <x v="1"/>
    <s v="Campaign B"/>
    <s v="Mobile"/>
    <n v="4444"/>
    <n v="1031"/>
    <n v="538"/>
    <n v="0.23199819981998199"/>
    <n v="0.52182347235693505"/>
  </r>
  <r>
    <s v="2026-02-26"/>
    <x v="1"/>
    <s v="Campaign C"/>
    <s v="Mobile"/>
    <n v="3825"/>
    <n v="536"/>
    <n v="200"/>
    <n v="0.14013071895424836"/>
    <n v="0.37313432835820898"/>
  </r>
  <r>
    <s v="2026-02-27"/>
    <x v="4"/>
    <s v="Campaign B"/>
    <s v="Mobile"/>
    <n v="3490"/>
    <n v="1025"/>
    <n v="460"/>
    <n v="0.29369627507163326"/>
    <n v="0.44878048780487806"/>
  </r>
  <r>
    <s v="2026-02-28"/>
    <x v="3"/>
    <s v="Campaign A"/>
    <s v="Mobile"/>
    <n v="2831"/>
    <n v="317"/>
    <n v="41"/>
    <n v="0.11197456729070999"/>
    <n v="0.12933753943217666"/>
  </r>
  <r>
    <s v="2026-03-01"/>
    <x v="3"/>
    <s v="Campaign C"/>
    <s v="Desktop"/>
    <n v="1686"/>
    <n v="240"/>
    <n v="110"/>
    <n v="0.14234875444839859"/>
    <n v="0.45833333333333331"/>
  </r>
  <r>
    <s v="2026-03-02"/>
    <x v="3"/>
    <s v="Campaign A"/>
    <s v="Desktop"/>
    <n v="3667"/>
    <n v="992"/>
    <n v="460"/>
    <n v="0.27052086173984186"/>
    <n v="0.46370967741935482"/>
  </r>
  <r>
    <s v="2026-03-03"/>
    <x v="4"/>
    <s v="Campaign C"/>
    <s v="Mobile"/>
    <n v="3972"/>
    <n v="574"/>
    <n v="270"/>
    <n v="0.14451158106747231"/>
    <n v="0.47038327526132406"/>
  </r>
  <r>
    <s v="2026-03-04"/>
    <x v="1"/>
    <s v="Campaign A"/>
    <s v="Desktop"/>
    <n v="4174"/>
    <n v="468"/>
    <n v="232"/>
    <n v="0.11212266411116435"/>
    <n v="0.49572649572649574"/>
  </r>
  <r>
    <s v="2026-03-05"/>
    <x v="3"/>
    <s v="Campaign A"/>
    <s v="Mobile"/>
    <n v="2605"/>
    <n v="337"/>
    <n v="169"/>
    <n v="0.12936660268714012"/>
    <n v="0.50148367952522255"/>
  </r>
  <r>
    <s v="2026-03-06"/>
    <x v="1"/>
    <s v="Campaign B"/>
    <s v="Desktop"/>
    <n v="3639"/>
    <n v="323"/>
    <n v="41"/>
    <n v="8.8760648529815883E-2"/>
    <n v="0.12693498452012383"/>
  </r>
  <r>
    <s v="2026-03-07"/>
    <x v="1"/>
    <s v="Campaign B"/>
    <s v="Desktop"/>
    <n v="1309"/>
    <n v="105"/>
    <n v="51"/>
    <n v="8.0213903743315509E-2"/>
    <n v="0.48571428571428571"/>
  </r>
  <r>
    <s v="2026-03-08"/>
    <x v="2"/>
    <s v="Campaign C"/>
    <s v="Mobile"/>
    <n v="4322"/>
    <n v="312"/>
    <n v="39"/>
    <n v="7.2188801480795928E-2"/>
    <n v="0.125"/>
  </r>
  <r>
    <s v="2026-03-09"/>
    <x v="4"/>
    <s v="Campaign A"/>
    <s v="Desktop"/>
    <n v="1917"/>
    <n v="296"/>
    <n v="95"/>
    <n v="0.15440792905581638"/>
    <n v="0.32094594594594594"/>
  </r>
  <r>
    <s v="2026-03-10"/>
    <x v="2"/>
    <s v="Campaign C"/>
    <s v="Mobile"/>
    <n v="2862"/>
    <n v="214"/>
    <n v="75"/>
    <n v="7.4772886093640814E-2"/>
    <n v="0.35046728971962615"/>
  </r>
  <r>
    <s v="2026-03-11"/>
    <x v="1"/>
    <s v="Campaign A"/>
    <s v="Mobile"/>
    <n v="1818"/>
    <n v="522"/>
    <n v="180"/>
    <n v="0.28712871287128711"/>
    <n v="0.34482758620689657"/>
  </r>
  <r>
    <s v="2026-03-12"/>
    <x v="3"/>
    <s v="Campaign B"/>
    <s v="Mobile"/>
    <n v="1182"/>
    <n v="124"/>
    <n v="63"/>
    <n v="0.10490693739424704"/>
    <n v="0.50806451612903225"/>
  </r>
  <r>
    <s v="2026-03-13"/>
    <x v="2"/>
    <s v="Campaign B"/>
    <s v="Desktop"/>
    <n v="1269"/>
    <n v="139"/>
    <n v="65"/>
    <n v="0.1095350669818755"/>
    <n v="0.46762589928057552"/>
  </r>
  <r>
    <s v="2026-03-14"/>
    <x v="2"/>
    <s v="Campaign B"/>
    <s v="Mobile"/>
    <n v="3660"/>
    <n v="636"/>
    <n v="122"/>
    <n v="0.17377049180327869"/>
    <n v="0.1918238993710692"/>
  </r>
  <r>
    <s v="2026-03-15"/>
    <x v="4"/>
    <s v="Campaign C"/>
    <s v="Desktop"/>
    <n v="4907"/>
    <n v="1462"/>
    <n v="720"/>
    <n v="0.2979417159160383"/>
    <n v="0.49247606019151846"/>
  </r>
  <r>
    <s v="2026-03-16"/>
    <x v="4"/>
    <s v="Campaign B"/>
    <s v="Desktop"/>
    <n v="1915"/>
    <n v="279"/>
    <n v="54"/>
    <n v="0.14569190600522194"/>
    <n v="0.19354838709677419"/>
  </r>
  <r>
    <s v="2026-03-17"/>
    <x v="0"/>
    <s v="Campaign B"/>
    <s v="Mobile"/>
    <n v="1764"/>
    <n v="233"/>
    <n v="97"/>
    <n v="0.13208616780045351"/>
    <n v="0.41630901287553645"/>
  </r>
  <r>
    <s v="2026-03-18"/>
    <x v="0"/>
    <s v="Campaign B"/>
    <s v="Mobile"/>
    <n v="2049"/>
    <n v="613"/>
    <n v="199"/>
    <n v="0.29917032698877499"/>
    <n v="0.32463295269168024"/>
  </r>
  <r>
    <s v="2026-03-19"/>
    <x v="2"/>
    <s v="Campaign B"/>
    <s v="Mobile"/>
    <n v="2042"/>
    <n v="457"/>
    <n v="96"/>
    <n v="0.22380019588638589"/>
    <n v="0.21006564551422319"/>
  </r>
  <r>
    <s v="2026-03-20"/>
    <x v="1"/>
    <s v="Campaign C"/>
    <s v="Desktop"/>
    <n v="2298"/>
    <n v="355"/>
    <n v="167"/>
    <n v="0.15448215839860749"/>
    <n v="0.47042253521126759"/>
  </r>
  <r>
    <s v="2026-03-21"/>
    <x v="4"/>
    <s v="Campaign A"/>
    <s v="Mobile"/>
    <n v="4889"/>
    <n v="1352"/>
    <n v="263"/>
    <n v="0.27653916956432806"/>
    <n v="0.19452662721893491"/>
  </r>
  <r>
    <s v="2026-03-22"/>
    <x v="4"/>
    <s v="Campaign C"/>
    <s v="Desktop"/>
    <n v="733"/>
    <n v="191"/>
    <n v="67"/>
    <n v="0.26057298772169168"/>
    <n v="0.35078534031413611"/>
  </r>
  <r>
    <s v="2026-03-23"/>
    <x v="2"/>
    <s v="Campaign C"/>
    <s v="Desktop"/>
    <n v="642"/>
    <n v="149"/>
    <n v="25"/>
    <n v="0.23208722741433022"/>
    <n v="0.16778523489932887"/>
  </r>
  <r>
    <s v="2026-03-24"/>
    <x v="3"/>
    <s v="Campaign A"/>
    <s v="Mobile"/>
    <n v="1861"/>
    <n v="316"/>
    <n v="133"/>
    <n v="0.16980118216012896"/>
    <n v="0.42088607594936711"/>
  </r>
  <r>
    <s v="2026-03-25"/>
    <x v="3"/>
    <s v="Campaign A"/>
    <s v="Desktop"/>
    <n v="3985"/>
    <n v="204"/>
    <n v="121"/>
    <n v="5.1191969887076534E-2"/>
    <n v="0.59313725490196079"/>
  </r>
  <r>
    <s v="2026-03-26"/>
    <x v="4"/>
    <s v="Campaign C"/>
    <s v="Mobile"/>
    <n v="708"/>
    <n v="167"/>
    <n v="56"/>
    <n v="0.23587570621468926"/>
    <n v="0.33532934131736525"/>
  </r>
  <r>
    <s v="2026-03-27"/>
    <x v="0"/>
    <s v="Campaign C"/>
    <s v="Desktop"/>
    <n v="1406"/>
    <n v="77"/>
    <n v="7"/>
    <n v="5.476529160739687E-2"/>
    <n v="9.0909090909090912E-2"/>
  </r>
  <r>
    <s v="2026-03-28"/>
    <x v="1"/>
    <s v="Campaign A"/>
    <s v="Mobile"/>
    <n v="2026"/>
    <n v="483"/>
    <n v="218"/>
    <n v="0.23840078973346496"/>
    <n v="0.45134575569358176"/>
  </r>
  <r>
    <s v="2026-03-29"/>
    <x v="3"/>
    <s v="Campaign C"/>
    <s v="Mobile"/>
    <n v="1718"/>
    <n v="505"/>
    <n v="217"/>
    <n v="0.29394644935972059"/>
    <n v="0.4297029702970297"/>
  </r>
  <r>
    <s v="2026-03-30"/>
    <x v="2"/>
    <s v="Campaign B"/>
    <s v="Mobile"/>
    <n v="1096"/>
    <n v="237"/>
    <n v="27"/>
    <n v="0.21624087591240876"/>
    <n v="0.11392405063291139"/>
  </r>
  <r>
    <s v="2026-03-31"/>
    <x v="0"/>
    <s v="Campaign A"/>
    <s v="Desktop"/>
    <n v="4472"/>
    <n v="568"/>
    <n v="177"/>
    <n v="0.12701252236135957"/>
    <n v="0.31161971830985913"/>
  </r>
  <r>
    <s v="2026-04-01"/>
    <x v="1"/>
    <s v="Campaign A"/>
    <s v="Mobile"/>
    <n v="4920"/>
    <n v="669"/>
    <n v="233"/>
    <n v="0.13597560975609757"/>
    <n v="0.34828101644245141"/>
  </r>
  <r>
    <s v="2026-04-02"/>
    <x v="0"/>
    <s v="Campaign A"/>
    <s v="Desktop"/>
    <n v="2469"/>
    <n v="176"/>
    <n v="76"/>
    <n v="7.1283920615633864E-2"/>
    <n v="0.43181818181818182"/>
  </r>
  <r>
    <s v="2026-04-03"/>
    <x v="3"/>
    <s v="Campaign B"/>
    <s v="Mobile"/>
    <n v="4514"/>
    <n v="288"/>
    <n v="71"/>
    <n v="6.3801506424457241E-2"/>
    <n v="0.24652777777777779"/>
  </r>
  <r>
    <s v="2026-04-04"/>
    <x v="4"/>
    <s v="Campaign C"/>
    <s v="Mobile"/>
    <n v="4565"/>
    <n v="913"/>
    <n v="177"/>
    <n v="0.2"/>
    <n v="0.19386637458926614"/>
  </r>
  <r>
    <s v="2026-04-05"/>
    <x v="1"/>
    <s v="Campaign C"/>
    <s v="Desktop"/>
    <n v="3772"/>
    <n v="784"/>
    <n v="373"/>
    <n v="0.20784729586426298"/>
    <n v="0.47576530612244899"/>
  </r>
  <r>
    <s v="2026-04-06"/>
    <x v="3"/>
    <s v="Campaign B"/>
    <s v="Desktop"/>
    <n v="2880"/>
    <n v="166"/>
    <n v="94"/>
    <n v="5.7638888888888892E-2"/>
    <n v="0.5662650602409639"/>
  </r>
  <r>
    <s v="2026-04-07"/>
    <x v="4"/>
    <s v="Campaign C"/>
    <s v="Mobile"/>
    <n v="4295"/>
    <n v="250"/>
    <n v="33"/>
    <n v="5.8207217694994179E-2"/>
    <n v="0.13200000000000001"/>
  </r>
  <r>
    <s v="2026-04-08"/>
    <x v="4"/>
    <s v="Campaign B"/>
    <s v="Desktop"/>
    <n v="1071"/>
    <n v="265"/>
    <n v="144"/>
    <n v="0.24743230625583568"/>
    <n v="0.54339622641509433"/>
  </r>
  <r>
    <s v="2026-04-09"/>
    <x v="3"/>
    <s v="Campaign A"/>
    <s v="Mobile"/>
    <n v="2774"/>
    <n v="495"/>
    <n v="116"/>
    <n v="0.17844268204758471"/>
    <n v="0.23434343434343435"/>
  </r>
  <r>
    <s v="2026-04-10"/>
    <x v="4"/>
    <s v="Campaign B"/>
    <s v="Mobile"/>
    <n v="595"/>
    <n v="30"/>
    <n v="3"/>
    <n v="5.0420168067226892E-2"/>
    <n v="0.1"/>
  </r>
  <r>
    <s v="2026-04-11"/>
    <x v="3"/>
    <s v="Campaign A"/>
    <s v="Mobile"/>
    <n v="1240"/>
    <n v="210"/>
    <n v="50"/>
    <n v="0.16935483870967741"/>
    <n v="0.23809523809523808"/>
  </r>
  <r>
    <s v="2026-04-12"/>
    <x v="3"/>
    <s v="Campaign A"/>
    <s v="Desktop"/>
    <n v="1051"/>
    <n v="81"/>
    <n v="9"/>
    <n v="7.7069457659372023E-2"/>
    <n v="0.1111111111111111"/>
  </r>
  <r>
    <s v="2026-04-13"/>
    <x v="3"/>
    <s v="Campaign A"/>
    <s v="Mobile"/>
    <n v="2808"/>
    <n v="510"/>
    <n v="147"/>
    <n v="0.18162393162393162"/>
    <n v="0.28823529411764703"/>
  </r>
  <r>
    <s v="2026-04-14"/>
    <x v="3"/>
    <s v="Campaign C"/>
    <s v="Desktop"/>
    <n v="3915"/>
    <n v="650"/>
    <n v="324"/>
    <n v="0.16602809706257982"/>
    <n v="0.49846153846153846"/>
  </r>
  <r>
    <s v="2026-04-15"/>
    <x v="0"/>
    <s v="Campaign A"/>
    <s v="Desktop"/>
    <n v="4165"/>
    <n v="1177"/>
    <n v="425"/>
    <n v="0.28259303721488593"/>
    <n v="0.36108751062022088"/>
  </r>
  <r>
    <s v="2026-04-16"/>
    <x v="3"/>
    <s v="Campaign A"/>
    <s v="Desktop"/>
    <n v="2338"/>
    <n v="353"/>
    <n v="180"/>
    <n v="0.15098374679213003"/>
    <n v="0.50991501416430596"/>
  </r>
  <r>
    <s v="2026-04-17"/>
    <x v="4"/>
    <s v="Campaign C"/>
    <s v="Mobile"/>
    <n v="3410"/>
    <n v="671"/>
    <n v="396"/>
    <n v="0.1967741935483871"/>
    <n v="0.5901639344262295"/>
  </r>
  <r>
    <s v="2026-04-18"/>
    <x v="1"/>
    <s v="Campaign C"/>
    <s v="Mobile"/>
    <n v="2572"/>
    <n v="459"/>
    <n v="140"/>
    <n v="0.17846034214618975"/>
    <n v="0.30501089324618735"/>
  </r>
  <r>
    <s v="2026-04-19"/>
    <x v="0"/>
    <s v="Campaign C"/>
    <s v="Desktop"/>
    <n v="4098"/>
    <n v="1227"/>
    <n v="265"/>
    <n v="0.29941434846266474"/>
    <n v="0.21597392013039934"/>
  </r>
  <r>
    <s v="2026-04-20"/>
    <x v="2"/>
    <s v="Campaign A"/>
    <s v="Mobile"/>
    <n v="4313"/>
    <n v="284"/>
    <n v="168"/>
    <n v="6.5847437978205428E-2"/>
    <n v="0.59154929577464788"/>
  </r>
  <r>
    <s v="2026-04-21"/>
    <x v="3"/>
    <s v="Campaign A"/>
    <s v="Desktop"/>
    <n v="2433"/>
    <n v="420"/>
    <n v="110"/>
    <n v="0.17262638717632553"/>
    <n v="0.26190476190476192"/>
  </r>
  <r>
    <s v="2026-04-22"/>
    <x v="2"/>
    <s v="Campaign B"/>
    <s v="Mobile"/>
    <n v="4980"/>
    <n v="931"/>
    <n v="237"/>
    <n v="0.18694779116465862"/>
    <n v="0.25456498388829218"/>
  </r>
  <r>
    <s v="2026-04-23"/>
    <x v="3"/>
    <s v="Campaign C"/>
    <s v="Desktop"/>
    <n v="1563"/>
    <n v="377"/>
    <n v="96"/>
    <n v="0.24120281509916827"/>
    <n v="0.25464190981432361"/>
  </r>
  <r>
    <s v="2026-04-24"/>
    <x v="0"/>
    <s v="Campaign A"/>
    <s v="Mobile"/>
    <n v="704"/>
    <n v="155"/>
    <n v="41"/>
    <n v="0.22017045454545456"/>
    <n v="0.26451612903225807"/>
  </r>
  <r>
    <s v="2026-04-25"/>
    <x v="0"/>
    <s v="Campaign C"/>
    <s v="Desktop"/>
    <n v="1838"/>
    <n v="237"/>
    <n v="98"/>
    <n v="0.12894450489662676"/>
    <n v="0.41350210970464135"/>
  </r>
  <r>
    <s v="2026-04-26"/>
    <x v="0"/>
    <s v="Campaign B"/>
    <s v="Desktop"/>
    <n v="3879"/>
    <n v="587"/>
    <n v="143"/>
    <n v="0.15132766176849705"/>
    <n v="0.24361158432708688"/>
  </r>
  <r>
    <s v="2026-04-27"/>
    <x v="3"/>
    <s v="Campaign C"/>
    <s v="Desktop"/>
    <n v="3397"/>
    <n v="745"/>
    <n v="260"/>
    <n v="0.21931115690314984"/>
    <n v="0.34899328859060402"/>
  </r>
  <r>
    <s v="2026-04-28"/>
    <x v="4"/>
    <s v="Campaign B"/>
    <s v="Desktop"/>
    <n v="4425"/>
    <n v="997"/>
    <n v="455"/>
    <n v="0.22531073446327685"/>
    <n v="0.45636910732196589"/>
  </r>
  <r>
    <s v="2026-04-29"/>
    <x v="0"/>
    <s v="Campaign A"/>
    <s v="Mobile"/>
    <n v="2749"/>
    <n v="660"/>
    <n v="351"/>
    <n v="0.24008730447435431"/>
    <n v="0.53181818181818186"/>
  </r>
  <r>
    <s v="2026-04-30"/>
    <x v="4"/>
    <s v="Campaign A"/>
    <s v="Desktop"/>
    <n v="3355"/>
    <n v="913"/>
    <n v="464"/>
    <n v="0.27213114754098361"/>
    <n v="0.50821467688937572"/>
  </r>
  <r>
    <m/>
    <x v="5"/>
    <m/>
    <m/>
    <m/>
    <m/>
    <m/>
    <m/>
    <m/>
  </r>
  <r>
    <m/>
    <x v="5"/>
    <m/>
    <m/>
    <m/>
    <m/>
    <m/>
    <m/>
    <m/>
  </r>
  <r>
    <m/>
    <x v="5"/>
    <m/>
    <m/>
    <m/>
    <m/>
    <m/>
    <m/>
    <m/>
  </r>
  <r>
    <m/>
    <x v="5"/>
    <m/>
    <m/>
    <m/>
    <m/>
    <m/>
    <m/>
    <m/>
  </r>
  <r>
    <m/>
    <x v="5"/>
    <m/>
    <m/>
    <m/>
    <m/>
    <m/>
    <m/>
    <m/>
  </r>
  <r>
    <m/>
    <x v="5"/>
    <m/>
    <m/>
    <s v="Total Visitors "/>
    <n v="337435"/>
    <m/>
    <m/>
    <m/>
  </r>
  <r>
    <m/>
    <x v="5"/>
    <m/>
    <m/>
    <s v="Total Leads "/>
    <n v="56405"/>
    <m/>
    <m/>
    <m/>
  </r>
  <r>
    <m/>
    <x v="5"/>
    <m/>
    <m/>
    <s v="Total Customers "/>
    <n v="20124"/>
    <m/>
    <m/>
    <m/>
  </r>
  <r>
    <m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A522D-A538-479F-821C-1076EC2780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10" firstHeaderRow="0" firstDataRow="1" firstDataCol="1"/>
  <pivotFields count="11">
    <pivotField showAll="0"/>
    <pivotField axis="axisRow" showAll="0">
      <items count="7">
        <item x="2"/>
        <item x="0"/>
        <item x="4"/>
        <item x="1"/>
        <item x="3"/>
        <item x="5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Visitors" fld="4" baseField="1" baseItem="0"/>
    <dataField name="Sum of Leads" fld="5" baseField="0" baseItem="0"/>
    <dataField name="Sum of Customers" fld="6" baseField="0" baseItem="0"/>
    <dataField name="Average of Lead Conversion Rate" fld="9" subtotal="average" baseField="1" baseItem="0" numFmtId="10"/>
    <dataField name="Average of Customer Conversion Rate" fld="10" subtotal="average" baseField="1" baseItem="0" numFmtId="10"/>
  </dataFields>
  <chartFormats count="5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899B-DADF-4C01-A733-591BC52F3597}">
  <dimension ref="A3:F10"/>
  <sheetViews>
    <sheetView topLeftCell="B1"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3.6640625" bestFit="1" customWidth="1"/>
    <col min="3" max="3" width="12.21875" bestFit="1" customWidth="1"/>
    <col min="4" max="4" width="16.44140625" bestFit="1" customWidth="1"/>
    <col min="5" max="5" width="29.109375" bestFit="1" customWidth="1"/>
    <col min="6" max="6" width="33.33203125" bestFit="1" customWidth="1"/>
  </cols>
  <sheetData>
    <row r="3" spans="1:6" x14ac:dyDescent="0.3">
      <c r="A3" s="4" t="s">
        <v>142</v>
      </c>
      <c r="B3" t="s">
        <v>145</v>
      </c>
      <c r="C3" t="s">
        <v>146</v>
      </c>
      <c r="D3" t="s">
        <v>147</v>
      </c>
      <c r="E3" t="s">
        <v>148</v>
      </c>
      <c r="F3" t="s">
        <v>149</v>
      </c>
    </row>
    <row r="4" spans="1:6" x14ac:dyDescent="0.3">
      <c r="A4" s="5" t="s">
        <v>129</v>
      </c>
      <c r="B4">
        <v>57192</v>
      </c>
      <c r="C4">
        <v>9210</v>
      </c>
      <c r="D4">
        <v>3437</v>
      </c>
      <c r="E4" s="6">
        <v>0.16103650860260177</v>
      </c>
      <c r="F4" s="6">
        <v>0.37318132464712267</v>
      </c>
    </row>
    <row r="5" spans="1:6" x14ac:dyDescent="0.3">
      <c r="A5" s="5" t="s">
        <v>127</v>
      </c>
      <c r="B5">
        <v>67445</v>
      </c>
      <c r="C5">
        <v>12599</v>
      </c>
      <c r="D5">
        <v>3966</v>
      </c>
      <c r="E5" s="6">
        <v>0.18680406256950108</v>
      </c>
      <c r="F5" s="6">
        <v>0.31478688784824194</v>
      </c>
    </row>
    <row r="6" spans="1:6" x14ac:dyDescent="0.3">
      <c r="A6" s="5" t="s">
        <v>131</v>
      </c>
      <c r="B6">
        <v>88239</v>
      </c>
      <c r="C6">
        <v>16117</v>
      </c>
      <c r="D6">
        <v>5808</v>
      </c>
      <c r="E6" s="6">
        <v>0.18265166196353086</v>
      </c>
      <c r="F6" s="6">
        <v>0.36036483216479492</v>
      </c>
    </row>
    <row r="7" spans="1:6" x14ac:dyDescent="0.3">
      <c r="A7" s="5" t="s">
        <v>128</v>
      </c>
      <c r="B7">
        <v>52400</v>
      </c>
      <c r="C7">
        <v>8870</v>
      </c>
      <c r="D7">
        <v>3474</v>
      </c>
      <c r="E7" s="6">
        <v>0.16927480916030535</v>
      </c>
      <c r="F7" s="6">
        <v>0.39165727170236753</v>
      </c>
    </row>
    <row r="8" spans="1:6" x14ac:dyDescent="0.3">
      <c r="A8" s="5" t="s">
        <v>130</v>
      </c>
      <c r="B8">
        <v>72159</v>
      </c>
      <c r="C8">
        <v>9609</v>
      </c>
      <c r="D8">
        <v>3439</v>
      </c>
      <c r="E8" s="6">
        <v>0.13316426225418868</v>
      </c>
      <c r="F8" s="6">
        <v>0.35789364137787488</v>
      </c>
    </row>
    <row r="9" spans="1:6" x14ac:dyDescent="0.3">
      <c r="A9" s="5" t="s">
        <v>143</v>
      </c>
      <c r="B9">
        <v>0</v>
      </c>
      <c r="C9">
        <v>413964</v>
      </c>
      <c r="E9" s="6" t="e">
        <v>#DIV/0!</v>
      </c>
      <c r="F9" s="6">
        <v>0</v>
      </c>
    </row>
    <row r="10" spans="1:6" x14ac:dyDescent="0.3">
      <c r="A10" s="5" t="s">
        <v>144</v>
      </c>
      <c r="B10">
        <v>337435</v>
      </c>
      <c r="C10">
        <v>470369</v>
      </c>
      <c r="D10">
        <v>20124</v>
      </c>
      <c r="E10" s="6">
        <v>1.3939543912160861</v>
      </c>
      <c r="F10" s="6">
        <v>4.2783431731257801E-2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workbookViewId="0">
      <pane ySplit="1" topLeftCell="A2" activePane="bottomLeft" state="frozen"/>
      <selection pane="bottomLeft" activeCell="I20" sqref="I20"/>
    </sheetView>
  </sheetViews>
  <sheetFormatPr defaultColWidth="20.6640625" defaultRowHeight="14.4" x14ac:dyDescent="0.3"/>
  <cols>
    <col min="8" max="8" width="22.77734375" customWidth="1"/>
    <col min="9" max="9" width="2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137</v>
      </c>
      <c r="I1" s="2" t="s">
        <v>138</v>
      </c>
    </row>
    <row r="2" spans="1:9" x14ac:dyDescent="0.3">
      <c r="A2" t="s">
        <v>7</v>
      </c>
      <c r="B2" t="s">
        <v>127</v>
      </c>
      <c r="C2" t="s">
        <v>132</v>
      </c>
      <c r="D2" t="s">
        <v>135</v>
      </c>
      <c r="E2" s="7">
        <v>734</v>
      </c>
      <c r="F2" s="7">
        <v>153</v>
      </c>
      <c r="G2" s="7">
        <v>53</v>
      </c>
      <c r="H2" s="3">
        <f>F2/E2</f>
        <v>0.20844686648501362</v>
      </c>
      <c r="I2" s="3">
        <f>G2/F2</f>
        <v>0.34640522875816993</v>
      </c>
    </row>
    <row r="3" spans="1:9" x14ac:dyDescent="0.3">
      <c r="A3" t="s">
        <v>8</v>
      </c>
      <c r="B3" t="s">
        <v>127</v>
      </c>
      <c r="C3" t="s">
        <v>132</v>
      </c>
      <c r="D3" t="s">
        <v>135</v>
      </c>
      <c r="E3" s="7">
        <v>3183</v>
      </c>
      <c r="F3" s="7">
        <v>455</v>
      </c>
      <c r="G3" s="7">
        <v>205</v>
      </c>
      <c r="H3" s="3">
        <f>F3/E3</f>
        <v>0.14294690543512409</v>
      </c>
      <c r="I3" s="3">
        <f>G3/F3</f>
        <v>0.45054945054945056</v>
      </c>
    </row>
    <row r="4" spans="1:9" x14ac:dyDescent="0.3">
      <c r="A4" t="s">
        <v>9</v>
      </c>
      <c r="B4" t="s">
        <v>128</v>
      </c>
      <c r="C4" t="s">
        <v>133</v>
      </c>
      <c r="D4" t="s">
        <v>135</v>
      </c>
      <c r="E4" s="7">
        <v>2011</v>
      </c>
      <c r="F4" s="7">
        <v>563</v>
      </c>
      <c r="G4" s="7">
        <v>98</v>
      </c>
      <c r="H4" s="3">
        <f>F4/E4</f>
        <v>0.27996021879661859</v>
      </c>
      <c r="I4" s="3">
        <f>G4/F4</f>
        <v>0.17406749555950266</v>
      </c>
    </row>
    <row r="5" spans="1:9" x14ac:dyDescent="0.3">
      <c r="A5" t="s">
        <v>10</v>
      </c>
      <c r="B5" t="s">
        <v>129</v>
      </c>
      <c r="C5" t="s">
        <v>134</v>
      </c>
      <c r="D5" t="s">
        <v>136</v>
      </c>
      <c r="E5" s="7">
        <v>4974</v>
      </c>
      <c r="F5" s="7">
        <v>1142</v>
      </c>
      <c r="G5" s="7">
        <v>659</v>
      </c>
      <c r="H5" s="3">
        <f>F5/E5</f>
        <v>0.22959388821873744</v>
      </c>
      <c r="I5" s="3">
        <f>G5/F5</f>
        <v>0.57705779334500873</v>
      </c>
    </row>
    <row r="6" spans="1:9" x14ac:dyDescent="0.3">
      <c r="A6" t="s">
        <v>11</v>
      </c>
      <c r="B6" t="s">
        <v>128</v>
      </c>
      <c r="C6" t="s">
        <v>132</v>
      </c>
      <c r="D6" t="s">
        <v>135</v>
      </c>
      <c r="E6" s="7">
        <v>1421</v>
      </c>
      <c r="F6" s="7">
        <v>246</v>
      </c>
      <c r="G6" s="7">
        <v>53</v>
      </c>
      <c r="H6" s="3">
        <f>F6/E6</f>
        <v>0.17311752287121746</v>
      </c>
      <c r="I6" s="3">
        <f>G6/F6</f>
        <v>0.21544715447154472</v>
      </c>
    </row>
    <row r="7" spans="1:9" x14ac:dyDescent="0.3">
      <c r="A7" t="s">
        <v>12</v>
      </c>
      <c r="B7" t="s">
        <v>130</v>
      </c>
      <c r="C7" t="s">
        <v>134</v>
      </c>
      <c r="D7" t="s">
        <v>136</v>
      </c>
      <c r="E7" s="7">
        <v>4524</v>
      </c>
      <c r="F7" s="7">
        <v>528</v>
      </c>
      <c r="G7" s="7">
        <v>300</v>
      </c>
      <c r="H7" s="3">
        <f>F7/E7</f>
        <v>0.11671087533156499</v>
      </c>
      <c r="I7" s="3">
        <f>G7/F7</f>
        <v>0.56818181818181823</v>
      </c>
    </row>
    <row r="8" spans="1:9" x14ac:dyDescent="0.3">
      <c r="A8" t="s">
        <v>13</v>
      </c>
      <c r="B8" t="s">
        <v>127</v>
      </c>
      <c r="C8" t="s">
        <v>132</v>
      </c>
      <c r="D8" t="s">
        <v>135</v>
      </c>
      <c r="E8" s="7">
        <v>4570</v>
      </c>
      <c r="F8" s="7">
        <v>1133</v>
      </c>
      <c r="G8" s="7">
        <v>532</v>
      </c>
      <c r="H8" s="3">
        <f>F8/E8</f>
        <v>0.24792122538293215</v>
      </c>
      <c r="I8" s="3">
        <f>G8/F8</f>
        <v>0.46954986760812001</v>
      </c>
    </row>
    <row r="9" spans="1:9" x14ac:dyDescent="0.3">
      <c r="A9" t="s">
        <v>14</v>
      </c>
      <c r="B9" t="s">
        <v>128</v>
      </c>
      <c r="C9" t="s">
        <v>134</v>
      </c>
      <c r="D9" t="s">
        <v>135</v>
      </c>
      <c r="E9" s="7">
        <v>4725</v>
      </c>
      <c r="F9" s="7">
        <v>752</v>
      </c>
      <c r="G9" s="7">
        <v>428</v>
      </c>
      <c r="H9" s="3">
        <f>F9/E9</f>
        <v>0.15915343915343916</v>
      </c>
      <c r="I9" s="3">
        <f>G9/F9</f>
        <v>0.56914893617021278</v>
      </c>
    </row>
    <row r="10" spans="1:9" x14ac:dyDescent="0.3">
      <c r="A10" t="s">
        <v>15</v>
      </c>
      <c r="B10" t="s">
        <v>131</v>
      </c>
      <c r="C10" t="s">
        <v>133</v>
      </c>
      <c r="D10" t="s">
        <v>136</v>
      </c>
      <c r="E10" s="7">
        <v>3595</v>
      </c>
      <c r="F10" s="7">
        <v>587</v>
      </c>
      <c r="G10" s="7">
        <v>129</v>
      </c>
      <c r="H10" s="3">
        <f>F10/E10</f>
        <v>0.16328233657858135</v>
      </c>
      <c r="I10" s="3">
        <f>G10/F10</f>
        <v>0.21976149914821125</v>
      </c>
    </row>
    <row r="11" spans="1:9" x14ac:dyDescent="0.3">
      <c r="A11" t="s">
        <v>16</v>
      </c>
      <c r="B11" t="s">
        <v>128</v>
      </c>
      <c r="C11" t="s">
        <v>132</v>
      </c>
      <c r="D11" t="s">
        <v>136</v>
      </c>
      <c r="E11" s="7">
        <v>1303</v>
      </c>
      <c r="F11" s="7">
        <v>199</v>
      </c>
      <c r="G11" s="7">
        <v>52</v>
      </c>
      <c r="H11" s="3">
        <f>F11/E11</f>
        <v>0.15272448196469685</v>
      </c>
      <c r="I11" s="3">
        <f>G11/F11</f>
        <v>0.2613065326633166</v>
      </c>
    </row>
    <row r="12" spans="1:9" x14ac:dyDescent="0.3">
      <c r="A12" t="s">
        <v>17</v>
      </c>
      <c r="B12" t="s">
        <v>127</v>
      </c>
      <c r="C12" t="s">
        <v>133</v>
      </c>
      <c r="D12" t="s">
        <v>136</v>
      </c>
      <c r="E12" s="7">
        <v>4085</v>
      </c>
      <c r="F12" s="7">
        <v>740</v>
      </c>
      <c r="G12" s="7">
        <v>267</v>
      </c>
      <c r="H12" s="3">
        <f>F12/E12</f>
        <v>0.18115055079559364</v>
      </c>
      <c r="I12" s="3">
        <f>G12/F12</f>
        <v>0.36081081081081079</v>
      </c>
    </row>
    <row r="13" spans="1:9" x14ac:dyDescent="0.3">
      <c r="A13" t="s">
        <v>18</v>
      </c>
      <c r="B13" t="s">
        <v>131</v>
      </c>
      <c r="C13" t="s">
        <v>134</v>
      </c>
      <c r="D13" t="s">
        <v>135</v>
      </c>
      <c r="E13" s="7">
        <v>4615</v>
      </c>
      <c r="F13" s="7">
        <v>1007</v>
      </c>
      <c r="G13" s="7">
        <v>405</v>
      </c>
      <c r="H13" s="3">
        <f>F13/E13</f>
        <v>0.2182015167930661</v>
      </c>
      <c r="I13" s="3">
        <f>G13/F13</f>
        <v>0.40218470705064546</v>
      </c>
    </row>
    <row r="14" spans="1:9" x14ac:dyDescent="0.3">
      <c r="A14" t="s">
        <v>19</v>
      </c>
      <c r="B14" t="s">
        <v>131</v>
      </c>
      <c r="C14" t="s">
        <v>133</v>
      </c>
      <c r="D14" t="s">
        <v>135</v>
      </c>
      <c r="E14" s="7">
        <v>3303</v>
      </c>
      <c r="F14" s="7">
        <v>452</v>
      </c>
      <c r="G14" s="7">
        <v>261</v>
      </c>
      <c r="H14" s="3">
        <f>F14/E14</f>
        <v>0.13684529215864366</v>
      </c>
      <c r="I14" s="3">
        <f>G14/F14</f>
        <v>0.57743362831858402</v>
      </c>
    </row>
    <row r="15" spans="1:9" x14ac:dyDescent="0.3">
      <c r="A15" t="s">
        <v>20</v>
      </c>
      <c r="B15" t="s">
        <v>129</v>
      </c>
      <c r="C15" t="s">
        <v>132</v>
      </c>
      <c r="D15" t="s">
        <v>135</v>
      </c>
      <c r="E15" s="7">
        <v>3251</v>
      </c>
      <c r="F15" s="7">
        <v>189</v>
      </c>
      <c r="G15" s="7">
        <v>64</v>
      </c>
      <c r="H15" s="3">
        <f>F15/E15</f>
        <v>5.8135958166717933E-2</v>
      </c>
      <c r="I15" s="3">
        <f>G15/F15</f>
        <v>0.33862433862433861</v>
      </c>
    </row>
    <row r="16" spans="1:9" x14ac:dyDescent="0.3">
      <c r="A16" t="s">
        <v>21</v>
      </c>
      <c r="B16" t="s">
        <v>127</v>
      </c>
      <c r="C16" t="s">
        <v>134</v>
      </c>
      <c r="D16" t="s">
        <v>136</v>
      </c>
      <c r="E16" s="7">
        <v>4883</v>
      </c>
      <c r="F16" s="7">
        <v>1142</v>
      </c>
      <c r="G16" s="7">
        <v>288</v>
      </c>
      <c r="H16" s="3">
        <f>F16/E16</f>
        <v>0.2338726192914192</v>
      </c>
      <c r="I16" s="3">
        <f>G16/F16</f>
        <v>0.2521891418563923</v>
      </c>
    </row>
    <row r="17" spans="1:9" x14ac:dyDescent="0.3">
      <c r="A17" t="s">
        <v>22</v>
      </c>
      <c r="B17" t="s">
        <v>131</v>
      </c>
      <c r="C17" t="s">
        <v>134</v>
      </c>
      <c r="D17" t="s">
        <v>135</v>
      </c>
      <c r="E17" s="7">
        <v>501</v>
      </c>
      <c r="F17" s="7">
        <v>61</v>
      </c>
      <c r="G17" s="7">
        <v>19</v>
      </c>
      <c r="H17" s="3">
        <f>F17/E17</f>
        <v>0.1217564870259481</v>
      </c>
      <c r="I17" s="3">
        <f>G17/F17</f>
        <v>0.31147540983606559</v>
      </c>
    </row>
    <row r="18" spans="1:9" x14ac:dyDescent="0.3">
      <c r="A18" t="s">
        <v>23</v>
      </c>
      <c r="B18" t="s">
        <v>129</v>
      </c>
      <c r="C18" t="s">
        <v>132</v>
      </c>
      <c r="D18" t="s">
        <v>136</v>
      </c>
      <c r="E18" s="7">
        <v>715</v>
      </c>
      <c r="F18" s="7">
        <v>131</v>
      </c>
      <c r="G18" s="7">
        <v>33</v>
      </c>
      <c r="H18" s="3">
        <f>F18/E18</f>
        <v>0.18321678321678322</v>
      </c>
      <c r="I18" s="3">
        <f>G18/F18</f>
        <v>0.25190839694656486</v>
      </c>
    </row>
    <row r="19" spans="1:9" x14ac:dyDescent="0.3">
      <c r="A19" t="s">
        <v>24</v>
      </c>
      <c r="B19" t="s">
        <v>131</v>
      </c>
      <c r="C19" t="s">
        <v>134</v>
      </c>
      <c r="D19" t="s">
        <v>136</v>
      </c>
      <c r="E19" s="7">
        <v>1297</v>
      </c>
      <c r="F19" s="7">
        <v>334</v>
      </c>
      <c r="G19" s="7">
        <v>76</v>
      </c>
      <c r="H19" s="3">
        <f>F19/E19</f>
        <v>0.25751734772552043</v>
      </c>
      <c r="I19" s="3">
        <f>G19/F19</f>
        <v>0.22754491017964071</v>
      </c>
    </row>
    <row r="20" spans="1:9" x14ac:dyDescent="0.3">
      <c r="A20" t="s">
        <v>25</v>
      </c>
      <c r="B20" t="s">
        <v>129</v>
      </c>
      <c r="C20" t="s">
        <v>132</v>
      </c>
      <c r="D20" t="s">
        <v>136</v>
      </c>
      <c r="E20" s="7">
        <v>1208</v>
      </c>
      <c r="F20" s="7">
        <v>216</v>
      </c>
      <c r="G20" s="7">
        <v>29</v>
      </c>
      <c r="H20" s="3">
        <f>F20/E20</f>
        <v>0.17880794701986755</v>
      </c>
      <c r="I20" s="3">
        <f>G20/F20</f>
        <v>0.13425925925925927</v>
      </c>
    </row>
    <row r="21" spans="1:9" x14ac:dyDescent="0.3">
      <c r="A21" t="s">
        <v>26</v>
      </c>
      <c r="B21" t="s">
        <v>131</v>
      </c>
      <c r="C21" t="s">
        <v>134</v>
      </c>
      <c r="D21" t="s">
        <v>136</v>
      </c>
      <c r="E21" s="7">
        <v>2726</v>
      </c>
      <c r="F21" s="7">
        <v>250</v>
      </c>
      <c r="G21" s="7">
        <v>62</v>
      </c>
      <c r="H21" s="3">
        <f>F21/E21</f>
        <v>9.1709464416727809E-2</v>
      </c>
      <c r="I21" s="3">
        <f>G21/F21</f>
        <v>0.248</v>
      </c>
    </row>
    <row r="22" spans="1:9" x14ac:dyDescent="0.3">
      <c r="A22" t="s">
        <v>27</v>
      </c>
      <c r="B22" t="s">
        <v>129</v>
      </c>
      <c r="C22" t="s">
        <v>133</v>
      </c>
      <c r="D22" t="s">
        <v>136</v>
      </c>
      <c r="E22" s="7">
        <v>3075</v>
      </c>
      <c r="F22" s="7">
        <v>812</v>
      </c>
      <c r="G22" s="7">
        <v>403</v>
      </c>
      <c r="H22" s="3">
        <f>F22/E22</f>
        <v>0.26406504065040648</v>
      </c>
      <c r="I22" s="3">
        <f>G22/F22</f>
        <v>0.4963054187192118</v>
      </c>
    </row>
    <row r="23" spans="1:9" x14ac:dyDescent="0.3">
      <c r="A23" t="s">
        <v>28</v>
      </c>
      <c r="B23" t="s">
        <v>127</v>
      </c>
      <c r="C23" t="s">
        <v>132</v>
      </c>
      <c r="D23" t="s">
        <v>135</v>
      </c>
      <c r="E23" s="7">
        <v>4959</v>
      </c>
      <c r="F23" s="7">
        <v>1225</v>
      </c>
      <c r="G23" s="7">
        <v>185</v>
      </c>
      <c r="H23" s="3">
        <f>F23/E23</f>
        <v>0.24702561000201653</v>
      </c>
      <c r="I23" s="3">
        <f>G23/F23</f>
        <v>0.15102040816326531</v>
      </c>
    </row>
    <row r="24" spans="1:9" x14ac:dyDescent="0.3">
      <c r="A24" t="s">
        <v>29</v>
      </c>
      <c r="B24" t="s">
        <v>129</v>
      </c>
      <c r="C24" t="s">
        <v>134</v>
      </c>
      <c r="D24" t="s">
        <v>136</v>
      </c>
      <c r="E24" s="7">
        <v>2579</v>
      </c>
      <c r="F24" s="7">
        <v>759</v>
      </c>
      <c r="G24" s="7">
        <v>404</v>
      </c>
      <c r="H24" s="3">
        <f>F24/E24</f>
        <v>0.29430011632415665</v>
      </c>
      <c r="I24" s="3">
        <f>G24/F24</f>
        <v>0.5322793148880105</v>
      </c>
    </row>
    <row r="25" spans="1:9" x14ac:dyDescent="0.3">
      <c r="A25" t="s">
        <v>30</v>
      </c>
      <c r="B25" t="s">
        <v>131</v>
      </c>
      <c r="C25" t="s">
        <v>132</v>
      </c>
      <c r="D25" t="s">
        <v>136</v>
      </c>
      <c r="E25" s="7">
        <v>2247</v>
      </c>
      <c r="F25" s="7">
        <v>652</v>
      </c>
      <c r="G25" s="7">
        <v>258</v>
      </c>
      <c r="H25" s="3">
        <f>F25/E25</f>
        <v>0.2901646639964397</v>
      </c>
      <c r="I25" s="3">
        <f>G25/F25</f>
        <v>0.39570552147239263</v>
      </c>
    </row>
    <row r="26" spans="1:9" x14ac:dyDescent="0.3">
      <c r="A26" t="s">
        <v>31</v>
      </c>
      <c r="B26" t="s">
        <v>131</v>
      </c>
      <c r="C26" t="s">
        <v>133</v>
      </c>
      <c r="D26" t="s">
        <v>135</v>
      </c>
      <c r="E26" s="7">
        <v>2295</v>
      </c>
      <c r="F26" s="7">
        <v>231</v>
      </c>
      <c r="G26" s="7">
        <v>45</v>
      </c>
      <c r="H26" s="3">
        <f>F26/E26</f>
        <v>0.10065359477124183</v>
      </c>
      <c r="I26" s="3">
        <f>G26/F26</f>
        <v>0.19480519480519481</v>
      </c>
    </row>
    <row r="27" spans="1:9" x14ac:dyDescent="0.3">
      <c r="A27" t="s">
        <v>32</v>
      </c>
      <c r="B27" t="s">
        <v>131</v>
      </c>
      <c r="C27" t="s">
        <v>134</v>
      </c>
      <c r="D27" t="s">
        <v>136</v>
      </c>
      <c r="E27" s="7">
        <v>3688</v>
      </c>
      <c r="F27" s="7">
        <v>378</v>
      </c>
      <c r="G27" s="7">
        <v>153</v>
      </c>
      <c r="H27" s="3">
        <f>F27/E27</f>
        <v>0.10249457700650759</v>
      </c>
      <c r="I27" s="3">
        <f>G27/F27</f>
        <v>0.40476190476190477</v>
      </c>
    </row>
    <row r="28" spans="1:9" x14ac:dyDescent="0.3">
      <c r="A28" t="s">
        <v>33</v>
      </c>
      <c r="B28" t="s">
        <v>129</v>
      </c>
      <c r="C28" t="s">
        <v>132</v>
      </c>
      <c r="D28" t="s">
        <v>135</v>
      </c>
      <c r="E28" s="7">
        <v>2921</v>
      </c>
      <c r="F28" s="7">
        <v>379</v>
      </c>
      <c r="G28" s="7">
        <v>131</v>
      </c>
      <c r="H28" s="3">
        <f>F28/E28</f>
        <v>0.12975008558712769</v>
      </c>
      <c r="I28" s="3">
        <f>G28/F28</f>
        <v>0.34564643799472294</v>
      </c>
    </row>
    <row r="29" spans="1:9" x14ac:dyDescent="0.3">
      <c r="A29" t="s">
        <v>34</v>
      </c>
      <c r="B29" t="s">
        <v>130</v>
      </c>
      <c r="C29" t="s">
        <v>132</v>
      </c>
      <c r="D29" t="s">
        <v>135</v>
      </c>
      <c r="E29" s="7">
        <v>4049</v>
      </c>
      <c r="F29" s="7">
        <v>313</v>
      </c>
      <c r="G29" s="7">
        <v>157</v>
      </c>
      <c r="H29" s="3">
        <f>F29/E29</f>
        <v>7.7303037787107926E-2</v>
      </c>
      <c r="I29" s="3">
        <f>G29/F29</f>
        <v>0.50159744408945683</v>
      </c>
    </row>
    <row r="30" spans="1:9" x14ac:dyDescent="0.3">
      <c r="A30" t="s">
        <v>35</v>
      </c>
      <c r="B30" t="s">
        <v>127</v>
      </c>
      <c r="C30" t="s">
        <v>133</v>
      </c>
      <c r="D30" t="s">
        <v>135</v>
      </c>
      <c r="E30" s="7">
        <v>4561</v>
      </c>
      <c r="F30" s="7">
        <v>284</v>
      </c>
      <c r="G30" s="7">
        <v>53</v>
      </c>
      <c r="H30" s="3">
        <f>F30/E30</f>
        <v>6.2267046700285024E-2</v>
      </c>
      <c r="I30" s="3">
        <f>G30/F30</f>
        <v>0.18661971830985916</v>
      </c>
    </row>
    <row r="31" spans="1:9" x14ac:dyDescent="0.3">
      <c r="A31" t="s">
        <v>36</v>
      </c>
      <c r="B31" t="s">
        <v>131</v>
      </c>
      <c r="C31" t="s">
        <v>132</v>
      </c>
      <c r="D31" t="s">
        <v>136</v>
      </c>
      <c r="E31" s="7">
        <v>4053</v>
      </c>
      <c r="F31" s="7">
        <v>494</v>
      </c>
      <c r="G31" s="7">
        <v>237</v>
      </c>
      <c r="H31" s="3">
        <f>F31/E31</f>
        <v>0.12188502343942759</v>
      </c>
      <c r="I31" s="3">
        <f>G31/F31</f>
        <v>0.47975708502024289</v>
      </c>
    </row>
    <row r="32" spans="1:9" x14ac:dyDescent="0.3">
      <c r="A32" t="s">
        <v>37</v>
      </c>
      <c r="B32" t="s">
        <v>131</v>
      </c>
      <c r="C32" t="s">
        <v>132</v>
      </c>
      <c r="D32" t="s">
        <v>135</v>
      </c>
      <c r="E32" s="7">
        <v>1419</v>
      </c>
      <c r="F32" s="7">
        <v>257</v>
      </c>
      <c r="G32" s="7">
        <v>96</v>
      </c>
      <c r="H32" s="3">
        <f>F32/E32</f>
        <v>0.18111346018322763</v>
      </c>
      <c r="I32" s="3">
        <f>G32/F32</f>
        <v>0.37354085603112841</v>
      </c>
    </row>
    <row r="33" spans="1:9" x14ac:dyDescent="0.3">
      <c r="A33" t="s">
        <v>38</v>
      </c>
      <c r="B33" t="s">
        <v>127</v>
      </c>
      <c r="C33" t="s">
        <v>134</v>
      </c>
      <c r="D33" t="s">
        <v>135</v>
      </c>
      <c r="E33" s="7">
        <v>2218</v>
      </c>
      <c r="F33" s="7">
        <v>410</v>
      </c>
      <c r="G33" s="7">
        <v>45</v>
      </c>
      <c r="H33" s="3">
        <f>F33/E33</f>
        <v>0.1848512173128945</v>
      </c>
      <c r="I33" s="3">
        <f>G33/F33</f>
        <v>0.10975609756097561</v>
      </c>
    </row>
    <row r="34" spans="1:9" x14ac:dyDescent="0.3">
      <c r="A34" t="s">
        <v>39</v>
      </c>
      <c r="B34" t="s">
        <v>129</v>
      </c>
      <c r="C34" t="s">
        <v>133</v>
      </c>
      <c r="D34" t="s">
        <v>136</v>
      </c>
      <c r="E34" s="7">
        <v>2459</v>
      </c>
      <c r="F34" s="7">
        <v>725</v>
      </c>
      <c r="G34" s="7">
        <v>304</v>
      </c>
      <c r="H34" s="3">
        <f>F34/E34</f>
        <v>0.29483529890199267</v>
      </c>
      <c r="I34" s="3">
        <f>G34/F34</f>
        <v>0.41931034482758622</v>
      </c>
    </row>
    <row r="35" spans="1:9" x14ac:dyDescent="0.3">
      <c r="A35" t="s">
        <v>40</v>
      </c>
      <c r="B35" t="s">
        <v>128</v>
      </c>
      <c r="C35" t="s">
        <v>132</v>
      </c>
      <c r="D35" t="s">
        <v>136</v>
      </c>
      <c r="E35" s="7">
        <v>1523</v>
      </c>
      <c r="F35" s="7">
        <v>448</v>
      </c>
      <c r="G35" s="7">
        <v>232</v>
      </c>
      <c r="H35" s="3">
        <f>F35/E35</f>
        <v>0.29415627051871307</v>
      </c>
      <c r="I35" s="3">
        <f>G35/F35</f>
        <v>0.5178571428571429</v>
      </c>
    </row>
    <row r="36" spans="1:9" x14ac:dyDescent="0.3">
      <c r="A36" t="s">
        <v>41</v>
      </c>
      <c r="B36" t="s">
        <v>128</v>
      </c>
      <c r="C36" t="s">
        <v>132</v>
      </c>
      <c r="D36" t="s">
        <v>135</v>
      </c>
      <c r="E36" s="7">
        <v>3227</v>
      </c>
      <c r="F36" s="7">
        <v>346</v>
      </c>
      <c r="G36" s="7">
        <v>168</v>
      </c>
      <c r="H36" s="3">
        <f>F36/E36</f>
        <v>0.10722032847846297</v>
      </c>
      <c r="I36" s="3">
        <f>G36/F36</f>
        <v>0.48554913294797686</v>
      </c>
    </row>
    <row r="37" spans="1:9" x14ac:dyDescent="0.3">
      <c r="A37" t="s">
        <v>42</v>
      </c>
      <c r="B37" t="s">
        <v>130</v>
      </c>
      <c r="C37" t="s">
        <v>134</v>
      </c>
      <c r="D37" t="s">
        <v>135</v>
      </c>
      <c r="E37" s="7">
        <v>4355</v>
      </c>
      <c r="F37" s="7">
        <v>596</v>
      </c>
      <c r="G37" s="7">
        <v>62</v>
      </c>
      <c r="H37" s="3">
        <f>F37/E37</f>
        <v>0.13685419058553386</v>
      </c>
      <c r="I37" s="3">
        <f>G37/F37</f>
        <v>0.1040268456375839</v>
      </c>
    </row>
    <row r="38" spans="1:9" x14ac:dyDescent="0.3">
      <c r="A38" t="s">
        <v>43</v>
      </c>
      <c r="B38" t="s">
        <v>127</v>
      </c>
      <c r="C38" t="s">
        <v>134</v>
      </c>
      <c r="D38" t="s">
        <v>136</v>
      </c>
      <c r="E38" s="7">
        <v>597</v>
      </c>
      <c r="F38" s="7">
        <v>73</v>
      </c>
      <c r="G38" s="7">
        <v>28</v>
      </c>
      <c r="H38" s="3">
        <f>F38/E38</f>
        <v>0.12227805695142378</v>
      </c>
      <c r="I38" s="3">
        <f>G38/F38</f>
        <v>0.38356164383561642</v>
      </c>
    </row>
    <row r="39" spans="1:9" x14ac:dyDescent="0.3">
      <c r="A39" t="s">
        <v>44</v>
      </c>
      <c r="B39" t="s">
        <v>130</v>
      </c>
      <c r="C39" t="s">
        <v>134</v>
      </c>
      <c r="D39" t="s">
        <v>135</v>
      </c>
      <c r="E39" s="7">
        <v>1645</v>
      </c>
      <c r="F39" s="7">
        <v>85</v>
      </c>
      <c r="G39" s="7">
        <v>19</v>
      </c>
      <c r="H39" s="3">
        <f>F39/E39</f>
        <v>5.1671732522796353E-2</v>
      </c>
      <c r="I39" s="3">
        <f>G39/F39</f>
        <v>0.22352941176470589</v>
      </c>
    </row>
    <row r="40" spans="1:9" x14ac:dyDescent="0.3">
      <c r="A40" t="s">
        <v>45</v>
      </c>
      <c r="B40" t="s">
        <v>131</v>
      </c>
      <c r="C40" t="s">
        <v>134</v>
      </c>
      <c r="D40" t="s">
        <v>135</v>
      </c>
      <c r="E40" s="7">
        <v>2448</v>
      </c>
      <c r="F40" s="7">
        <v>327</v>
      </c>
      <c r="G40" s="7">
        <v>62</v>
      </c>
      <c r="H40" s="3">
        <f>F40/E40</f>
        <v>0.13357843137254902</v>
      </c>
      <c r="I40" s="3">
        <f>G40/F40</f>
        <v>0.18960244648318042</v>
      </c>
    </row>
    <row r="41" spans="1:9" x14ac:dyDescent="0.3">
      <c r="A41" t="s">
        <v>46</v>
      </c>
      <c r="B41" t="s">
        <v>131</v>
      </c>
      <c r="C41" t="s">
        <v>134</v>
      </c>
      <c r="D41" t="s">
        <v>136</v>
      </c>
      <c r="E41" s="7">
        <v>3742</v>
      </c>
      <c r="F41" s="7">
        <v>884</v>
      </c>
      <c r="G41" s="7">
        <v>216</v>
      </c>
      <c r="H41" s="3">
        <f>F41/E41</f>
        <v>0.23623730625334047</v>
      </c>
      <c r="I41" s="3">
        <f>G41/F41</f>
        <v>0.24434389140271492</v>
      </c>
    </row>
    <row r="42" spans="1:9" x14ac:dyDescent="0.3">
      <c r="A42" t="s">
        <v>47</v>
      </c>
      <c r="B42" t="s">
        <v>129</v>
      </c>
      <c r="C42" t="s">
        <v>134</v>
      </c>
      <c r="D42" t="s">
        <v>135</v>
      </c>
      <c r="E42" s="7">
        <v>3548</v>
      </c>
      <c r="F42" s="7">
        <v>397</v>
      </c>
      <c r="G42" s="7">
        <v>232</v>
      </c>
      <c r="H42" s="3">
        <f>F42/E42</f>
        <v>0.11189402480270574</v>
      </c>
      <c r="I42" s="3">
        <f>G42/F42</f>
        <v>0.58438287153652391</v>
      </c>
    </row>
    <row r="43" spans="1:9" x14ac:dyDescent="0.3">
      <c r="A43" t="s">
        <v>48</v>
      </c>
      <c r="B43" t="s">
        <v>131</v>
      </c>
      <c r="C43" t="s">
        <v>133</v>
      </c>
      <c r="D43" t="s">
        <v>135</v>
      </c>
      <c r="E43" s="7">
        <v>3559</v>
      </c>
      <c r="F43" s="7">
        <v>412</v>
      </c>
      <c r="G43" s="7">
        <v>60</v>
      </c>
      <c r="H43" s="3">
        <f>F43/E43</f>
        <v>0.11576285473447598</v>
      </c>
      <c r="I43" s="3">
        <f>G43/F43</f>
        <v>0.14563106796116504</v>
      </c>
    </row>
    <row r="44" spans="1:9" x14ac:dyDescent="0.3">
      <c r="A44" t="s">
        <v>49</v>
      </c>
      <c r="B44" t="s">
        <v>127</v>
      </c>
      <c r="C44" t="s">
        <v>134</v>
      </c>
      <c r="D44" t="s">
        <v>136</v>
      </c>
      <c r="E44" s="7">
        <v>2989</v>
      </c>
      <c r="F44" s="7">
        <v>622</v>
      </c>
      <c r="G44" s="7">
        <v>70</v>
      </c>
      <c r="H44" s="3">
        <f>F44/E44</f>
        <v>0.20809635329541654</v>
      </c>
      <c r="I44" s="3">
        <f>G44/F44</f>
        <v>0.11254019292604502</v>
      </c>
    </row>
    <row r="45" spans="1:9" x14ac:dyDescent="0.3">
      <c r="A45" t="s">
        <v>50</v>
      </c>
      <c r="B45" t="s">
        <v>128</v>
      </c>
      <c r="C45" t="s">
        <v>133</v>
      </c>
      <c r="D45" t="s">
        <v>136</v>
      </c>
      <c r="E45" s="7">
        <v>3393</v>
      </c>
      <c r="F45" s="7">
        <v>581</v>
      </c>
      <c r="G45" s="7">
        <v>70</v>
      </c>
      <c r="H45" s="3">
        <f>F45/E45</f>
        <v>0.17123489537282641</v>
      </c>
      <c r="I45" s="3">
        <f>G45/F45</f>
        <v>0.12048192771084337</v>
      </c>
    </row>
    <row r="46" spans="1:9" x14ac:dyDescent="0.3">
      <c r="A46" t="s">
        <v>51</v>
      </c>
      <c r="B46" t="s">
        <v>130</v>
      </c>
      <c r="C46" t="s">
        <v>133</v>
      </c>
      <c r="D46" t="s">
        <v>135</v>
      </c>
      <c r="E46" s="7">
        <v>2621</v>
      </c>
      <c r="F46" s="7">
        <v>321</v>
      </c>
      <c r="G46" s="7">
        <v>52</v>
      </c>
      <c r="H46" s="3">
        <f>F46/E46</f>
        <v>0.12247233880198398</v>
      </c>
      <c r="I46" s="3">
        <f>G46/F46</f>
        <v>0.16199376947040497</v>
      </c>
    </row>
    <row r="47" spans="1:9" x14ac:dyDescent="0.3">
      <c r="A47" t="s">
        <v>52</v>
      </c>
      <c r="B47" t="s">
        <v>130</v>
      </c>
      <c r="C47" t="s">
        <v>133</v>
      </c>
      <c r="D47" t="s">
        <v>136</v>
      </c>
      <c r="E47" s="7">
        <v>959</v>
      </c>
      <c r="F47" s="7">
        <v>49</v>
      </c>
      <c r="G47" s="7">
        <v>12</v>
      </c>
      <c r="H47" s="3">
        <f>F47/E47</f>
        <v>5.1094890510948905E-2</v>
      </c>
      <c r="I47" s="3">
        <f>G47/F47</f>
        <v>0.24489795918367346</v>
      </c>
    </row>
    <row r="48" spans="1:9" x14ac:dyDescent="0.3">
      <c r="A48" t="s">
        <v>53</v>
      </c>
      <c r="B48" t="s">
        <v>131</v>
      </c>
      <c r="C48" t="s">
        <v>134</v>
      </c>
      <c r="D48" t="s">
        <v>135</v>
      </c>
      <c r="E48" s="7">
        <v>2477</v>
      </c>
      <c r="F48" s="7">
        <v>304</v>
      </c>
      <c r="G48" s="7">
        <v>40</v>
      </c>
      <c r="H48" s="3">
        <f>F48/E48</f>
        <v>0.12272910779168349</v>
      </c>
      <c r="I48" s="3">
        <f>G48/F48</f>
        <v>0.13157894736842105</v>
      </c>
    </row>
    <row r="49" spans="1:9" x14ac:dyDescent="0.3">
      <c r="A49" t="s">
        <v>54</v>
      </c>
      <c r="B49" t="s">
        <v>127</v>
      </c>
      <c r="C49" t="s">
        <v>132</v>
      </c>
      <c r="D49" t="s">
        <v>136</v>
      </c>
      <c r="E49" s="7">
        <v>1817</v>
      </c>
      <c r="F49" s="7">
        <v>123</v>
      </c>
      <c r="G49" s="7">
        <v>47</v>
      </c>
      <c r="H49" s="3">
        <f>F49/E49</f>
        <v>6.7694001100715467E-2</v>
      </c>
      <c r="I49" s="3">
        <f>G49/F49</f>
        <v>0.38211382113821141</v>
      </c>
    </row>
    <row r="50" spans="1:9" x14ac:dyDescent="0.3">
      <c r="A50" t="s">
        <v>55</v>
      </c>
      <c r="B50" t="s">
        <v>127</v>
      </c>
      <c r="C50" t="s">
        <v>133</v>
      </c>
      <c r="D50" t="s">
        <v>135</v>
      </c>
      <c r="E50" s="7">
        <v>3256</v>
      </c>
      <c r="F50" s="7">
        <v>529</v>
      </c>
      <c r="G50" s="7">
        <v>314</v>
      </c>
      <c r="H50" s="3">
        <f>F50/E50</f>
        <v>0.16246928746928746</v>
      </c>
      <c r="I50" s="3">
        <f>G50/F50</f>
        <v>0.59357277882797732</v>
      </c>
    </row>
    <row r="51" spans="1:9" x14ac:dyDescent="0.3">
      <c r="A51" t="s">
        <v>56</v>
      </c>
      <c r="B51" t="s">
        <v>130</v>
      </c>
      <c r="C51" t="s">
        <v>132</v>
      </c>
      <c r="D51" t="s">
        <v>136</v>
      </c>
      <c r="E51" s="7">
        <v>1625</v>
      </c>
      <c r="F51" s="7">
        <v>123</v>
      </c>
      <c r="G51" s="7">
        <v>21</v>
      </c>
      <c r="H51" s="3">
        <f>F51/E51</f>
        <v>7.5692307692307698E-2</v>
      </c>
      <c r="I51" s="3">
        <f>G51/F51</f>
        <v>0.17073170731707318</v>
      </c>
    </row>
    <row r="52" spans="1:9" x14ac:dyDescent="0.3">
      <c r="A52" t="s">
        <v>57</v>
      </c>
      <c r="B52" t="s">
        <v>130</v>
      </c>
      <c r="C52" t="s">
        <v>133</v>
      </c>
      <c r="D52" t="s">
        <v>135</v>
      </c>
      <c r="E52" s="7">
        <v>3933</v>
      </c>
      <c r="F52" s="7">
        <v>264</v>
      </c>
      <c r="G52" s="7">
        <v>45</v>
      </c>
      <c r="H52" s="3">
        <f>F52/E52</f>
        <v>6.7124332570556833E-2</v>
      </c>
      <c r="I52" s="3">
        <f>G52/F52</f>
        <v>0.17045454545454544</v>
      </c>
    </row>
    <row r="53" spans="1:9" x14ac:dyDescent="0.3">
      <c r="A53" t="s">
        <v>58</v>
      </c>
      <c r="B53" t="s">
        <v>131</v>
      </c>
      <c r="C53" t="s">
        <v>133</v>
      </c>
      <c r="D53" t="s">
        <v>135</v>
      </c>
      <c r="E53" s="7">
        <v>2027</v>
      </c>
      <c r="F53" s="7">
        <v>102</v>
      </c>
      <c r="G53" s="7">
        <v>32</v>
      </c>
      <c r="H53" s="3">
        <f>F53/E53</f>
        <v>5.0320670942279232E-2</v>
      </c>
      <c r="I53" s="3">
        <f>G53/F53</f>
        <v>0.31372549019607843</v>
      </c>
    </row>
    <row r="54" spans="1:9" x14ac:dyDescent="0.3">
      <c r="A54" t="s">
        <v>59</v>
      </c>
      <c r="B54" t="s">
        <v>129</v>
      </c>
      <c r="C54" t="s">
        <v>133</v>
      </c>
      <c r="D54" t="s">
        <v>136</v>
      </c>
      <c r="E54" s="7">
        <v>1045</v>
      </c>
      <c r="F54" s="7">
        <v>173</v>
      </c>
      <c r="G54" s="7">
        <v>52</v>
      </c>
      <c r="H54" s="3">
        <f>F54/E54</f>
        <v>0.16555023923444975</v>
      </c>
      <c r="I54" s="3">
        <f>G54/F54</f>
        <v>0.30057803468208094</v>
      </c>
    </row>
    <row r="55" spans="1:9" x14ac:dyDescent="0.3">
      <c r="A55" t="s">
        <v>60</v>
      </c>
      <c r="B55" t="s">
        <v>129</v>
      </c>
      <c r="C55" t="s">
        <v>134</v>
      </c>
      <c r="D55" t="s">
        <v>135</v>
      </c>
      <c r="E55" s="7">
        <v>3857</v>
      </c>
      <c r="F55" s="7">
        <v>261</v>
      </c>
      <c r="G55" s="7">
        <v>132</v>
      </c>
      <c r="H55" s="3">
        <f>F55/E55</f>
        <v>6.7669172932330823E-2</v>
      </c>
      <c r="I55" s="3">
        <f>G55/F55</f>
        <v>0.50574712643678166</v>
      </c>
    </row>
    <row r="56" spans="1:9" x14ac:dyDescent="0.3">
      <c r="A56" t="s">
        <v>61</v>
      </c>
      <c r="B56" t="s">
        <v>129</v>
      </c>
      <c r="C56" t="s">
        <v>132</v>
      </c>
      <c r="D56" t="s">
        <v>136</v>
      </c>
      <c r="E56" s="7">
        <v>2374</v>
      </c>
      <c r="F56" s="7">
        <v>667</v>
      </c>
      <c r="G56" s="7">
        <v>140</v>
      </c>
      <c r="H56" s="3">
        <f>F56/E56</f>
        <v>0.28096040438079189</v>
      </c>
      <c r="I56" s="3">
        <f>G56/F56</f>
        <v>0.20989505247376311</v>
      </c>
    </row>
    <row r="57" spans="1:9" x14ac:dyDescent="0.3">
      <c r="A57" t="s">
        <v>62</v>
      </c>
      <c r="B57" t="s">
        <v>128</v>
      </c>
      <c r="C57" t="s">
        <v>132</v>
      </c>
      <c r="D57" t="s">
        <v>136</v>
      </c>
      <c r="E57" s="7">
        <v>4444</v>
      </c>
      <c r="F57" s="7">
        <v>1031</v>
      </c>
      <c r="G57" s="7">
        <v>538</v>
      </c>
      <c r="H57" s="3">
        <f>F57/E57</f>
        <v>0.23199819981998199</v>
      </c>
      <c r="I57" s="3">
        <f>G57/F57</f>
        <v>0.52182347235693505</v>
      </c>
    </row>
    <row r="58" spans="1:9" x14ac:dyDescent="0.3">
      <c r="A58" t="s">
        <v>63</v>
      </c>
      <c r="B58" t="s">
        <v>128</v>
      </c>
      <c r="C58" t="s">
        <v>134</v>
      </c>
      <c r="D58" t="s">
        <v>136</v>
      </c>
      <c r="E58" s="7">
        <v>3825</v>
      </c>
      <c r="F58" s="7">
        <v>536</v>
      </c>
      <c r="G58" s="7">
        <v>200</v>
      </c>
      <c r="H58" s="3">
        <f>F58/E58</f>
        <v>0.14013071895424836</v>
      </c>
      <c r="I58" s="3">
        <f>G58/F58</f>
        <v>0.37313432835820898</v>
      </c>
    </row>
    <row r="59" spans="1:9" x14ac:dyDescent="0.3">
      <c r="A59" t="s">
        <v>64</v>
      </c>
      <c r="B59" t="s">
        <v>131</v>
      </c>
      <c r="C59" t="s">
        <v>132</v>
      </c>
      <c r="D59" t="s">
        <v>136</v>
      </c>
      <c r="E59" s="7">
        <v>3490</v>
      </c>
      <c r="F59" s="7">
        <v>1025</v>
      </c>
      <c r="G59" s="7">
        <v>460</v>
      </c>
      <c r="H59" s="3">
        <f>F59/E59</f>
        <v>0.29369627507163326</v>
      </c>
      <c r="I59" s="3">
        <f>G59/F59</f>
        <v>0.44878048780487806</v>
      </c>
    </row>
    <row r="60" spans="1:9" x14ac:dyDescent="0.3">
      <c r="A60" t="s">
        <v>65</v>
      </c>
      <c r="B60" t="s">
        <v>130</v>
      </c>
      <c r="C60" t="s">
        <v>133</v>
      </c>
      <c r="D60" t="s">
        <v>136</v>
      </c>
      <c r="E60" s="7">
        <v>2831</v>
      </c>
      <c r="F60" s="7">
        <v>317</v>
      </c>
      <c r="G60" s="7">
        <v>41</v>
      </c>
      <c r="H60" s="3">
        <f>F60/E60</f>
        <v>0.11197456729070999</v>
      </c>
      <c r="I60" s="3">
        <f>G60/F60</f>
        <v>0.12933753943217666</v>
      </c>
    </row>
    <row r="61" spans="1:9" x14ac:dyDescent="0.3">
      <c r="A61" t="s">
        <v>66</v>
      </c>
      <c r="B61" t="s">
        <v>130</v>
      </c>
      <c r="C61" t="s">
        <v>134</v>
      </c>
      <c r="D61" t="s">
        <v>135</v>
      </c>
      <c r="E61" s="7">
        <v>1686</v>
      </c>
      <c r="F61" s="7">
        <v>240</v>
      </c>
      <c r="G61" s="7">
        <v>110</v>
      </c>
      <c r="H61" s="3">
        <f>F61/E61</f>
        <v>0.14234875444839859</v>
      </c>
      <c r="I61" s="3">
        <f>G61/F61</f>
        <v>0.45833333333333331</v>
      </c>
    </row>
    <row r="62" spans="1:9" x14ac:dyDescent="0.3">
      <c r="A62" t="s">
        <v>67</v>
      </c>
      <c r="B62" t="s">
        <v>130</v>
      </c>
      <c r="C62" t="s">
        <v>133</v>
      </c>
      <c r="D62" t="s">
        <v>135</v>
      </c>
      <c r="E62" s="7">
        <v>3667</v>
      </c>
      <c r="F62" s="7">
        <v>992</v>
      </c>
      <c r="G62" s="7">
        <v>460</v>
      </c>
      <c r="H62" s="3">
        <f>F62/E62</f>
        <v>0.27052086173984186</v>
      </c>
      <c r="I62" s="3">
        <f>G62/F62</f>
        <v>0.46370967741935482</v>
      </c>
    </row>
    <row r="63" spans="1:9" x14ac:dyDescent="0.3">
      <c r="A63" t="s">
        <v>68</v>
      </c>
      <c r="B63" t="s">
        <v>131</v>
      </c>
      <c r="C63" t="s">
        <v>134</v>
      </c>
      <c r="D63" t="s">
        <v>136</v>
      </c>
      <c r="E63" s="7">
        <v>3972</v>
      </c>
      <c r="F63" s="7">
        <v>574</v>
      </c>
      <c r="G63" s="7">
        <v>270</v>
      </c>
      <c r="H63" s="3">
        <f>F63/E63</f>
        <v>0.14451158106747231</v>
      </c>
      <c r="I63" s="3">
        <f>G63/F63</f>
        <v>0.47038327526132406</v>
      </c>
    </row>
    <row r="64" spans="1:9" x14ac:dyDescent="0.3">
      <c r="A64" t="s">
        <v>69</v>
      </c>
      <c r="B64" t="s">
        <v>128</v>
      </c>
      <c r="C64" t="s">
        <v>133</v>
      </c>
      <c r="D64" t="s">
        <v>135</v>
      </c>
      <c r="E64" s="7">
        <v>4174</v>
      </c>
      <c r="F64" s="7">
        <v>468</v>
      </c>
      <c r="G64" s="7">
        <v>232</v>
      </c>
      <c r="H64" s="3">
        <f>F64/E64</f>
        <v>0.11212266411116435</v>
      </c>
      <c r="I64" s="3">
        <f>G64/F64</f>
        <v>0.49572649572649574</v>
      </c>
    </row>
    <row r="65" spans="1:9" x14ac:dyDescent="0.3">
      <c r="A65" t="s">
        <v>70</v>
      </c>
      <c r="B65" t="s">
        <v>130</v>
      </c>
      <c r="C65" t="s">
        <v>133</v>
      </c>
      <c r="D65" t="s">
        <v>136</v>
      </c>
      <c r="E65" s="7">
        <v>2605</v>
      </c>
      <c r="F65" s="7">
        <v>337</v>
      </c>
      <c r="G65" s="7">
        <v>169</v>
      </c>
      <c r="H65" s="3">
        <f>F65/E65</f>
        <v>0.12936660268714012</v>
      </c>
      <c r="I65" s="3">
        <f>G65/F65</f>
        <v>0.50148367952522255</v>
      </c>
    </row>
    <row r="66" spans="1:9" x14ac:dyDescent="0.3">
      <c r="A66" t="s">
        <v>71</v>
      </c>
      <c r="B66" t="s">
        <v>128</v>
      </c>
      <c r="C66" t="s">
        <v>132</v>
      </c>
      <c r="D66" t="s">
        <v>135</v>
      </c>
      <c r="E66" s="7">
        <v>3639</v>
      </c>
      <c r="F66" s="7">
        <v>323</v>
      </c>
      <c r="G66" s="7">
        <v>41</v>
      </c>
      <c r="H66" s="3">
        <f>F66/E66</f>
        <v>8.8760648529815883E-2</v>
      </c>
      <c r="I66" s="3">
        <f>G66/F66</f>
        <v>0.12693498452012383</v>
      </c>
    </row>
    <row r="67" spans="1:9" x14ac:dyDescent="0.3">
      <c r="A67" t="s">
        <v>72</v>
      </c>
      <c r="B67" t="s">
        <v>128</v>
      </c>
      <c r="C67" t="s">
        <v>132</v>
      </c>
      <c r="D67" t="s">
        <v>135</v>
      </c>
      <c r="E67" s="7">
        <v>1309</v>
      </c>
      <c r="F67" s="7">
        <v>105</v>
      </c>
      <c r="G67" s="7">
        <v>51</v>
      </c>
      <c r="H67" s="3">
        <f>F67/E67</f>
        <v>8.0213903743315509E-2</v>
      </c>
      <c r="I67" s="3">
        <f>G67/F67</f>
        <v>0.48571428571428571</v>
      </c>
    </row>
    <row r="68" spans="1:9" x14ac:dyDescent="0.3">
      <c r="A68" t="s">
        <v>73</v>
      </c>
      <c r="B68" t="s">
        <v>129</v>
      </c>
      <c r="C68" t="s">
        <v>134</v>
      </c>
      <c r="D68" t="s">
        <v>136</v>
      </c>
      <c r="E68" s="7">
        <v>4322</v>
      </c>
      <c r="F68" s="7">
        <v>312</v>
      </c>
      <c r="G68" s="7">
        <v>39</v>
      </c>
      <c r="H68" s="3">
        <f>F68/E68</f>
        <v>7.2188801480795928E-2</v>
      </c>
      <c r="I68" s="3">
        <f>G68/F68</f>
        <v>0.125</v>
      </c>
    </row>
    <row r="69" spans="1:9" x14ac:dyDescent="0.3">
      <c r="A69" t="s">
        <v>74</v>
      </c>
      <c r="B69" t="s">
        <v>131</v>
      </c>
      <c r="C69" t="s">
        <v>133</v>
      </c>
      <c r="D69" t="s">
        <v>135</v>
      </c>
      <c r="E69" s="7">
        <v>1917</v>
      </c>
      <c r="F69" s="7">
        <v>296</v>
      </c>
      <c r="G69" s="7">
        <v>95</v>
      </c>
      <c r="H69" s="3">
        <f>F69/E69</f>
        <v>0.15440792905581638</v>
      </c>
      <c r="I69" s="3">
        <f>G69/F69</f>
        <v>0.32094594594594594</v>
      </c>
    </row>
    <row r="70" spans="1:9" x14ac:dyDescent="0.3">
      <c r="A70" t="s">
        <v>75</v>
      </c>
      <c r="B70" t="s">
        <v>129</v>
      </c>
      <c r="C70" t="s">
        <v>134</v>
      </c>
      <c r="D70" t="s">
        <v>136</v>
      </c>
      <c r="E70" s="7">
        <v>2862</v>
      </c>
      <c r="F70" s="7">
        <v>214</v>
      </c>
      <c r="G70" s="7">
        <v>75</v>
      </c>
      <c r="H70" s="3">
        <f>F70/E70</f>
        <v>7.4772886093640814E-2</v>
      </c>
      <c r="I70" s="3">
        <f>G70/F70</f>
        <v>0.35046728971962615</v>
      </c>
    </row>
    <row r="71" spans="1:9" x14ac:dyDescent="0.3">
      <c r="A71" t="s">
        <v>76</v>
      </c>
      <c r="B71" t="s">
        <v>128</v>
      </c>
      <c r="C71" t="s">
        <v>133</v>
      </c>
      <c r="D71" t="s">
        <v>136</v>
      </c>
      <c r="E71" s="7">
        <v>1818</v>
      </c>
      <c r="F71" s="7">
        <v>522</v>
      </c>
      <c r="G71" s="7">
        <v>180</v>
      </c>
      <c r="H71" s="3">
        <f>F71/E71</f>
        <v>0.28712871287128711</v>
      </c>
      <c r="I71" s="3">
        <f>G71/F71</f>
        <v>0.34482758620689657</v>
      </c>
    </row>
    <row r="72" spans="1:9" x14ac:dyDescent="0.3">
      <c r="A72" t="s">
        <v>77</v>
      </c>
      <c r="B72" t="s">
        <v>130</v>
      </c>
      <c r="C72" t="s">
        <v>132</v>
      </c>
      <c r="D72" t="s">
        <v>136</v>
      </c>
      <c r="E72" s="7">
        <v>1182</v>
      </c>
      <c r="F72" s="7">
        <v>124</v>
      </c>
      <c r="G72" s="7">
        <v>63</v>
      </c>
      <c r="H72" s="3">
        <f>F72/E72</f>
        <v>0.10490693739424704</v>
      </c>
      <c r="I72" s="3">
        <f>G72/F72</f>
        <v>0.50806451612903225</v>
      </c>
    </row>
    <row r="73" spans="1:9" x14ac:dyDescent="0.3">
      <c r="A73" t="s">
        <v>78</v>
      </c>
      <c r="B73" t="s">
        <v>129</v>
      </c>
      <c r="C73" t="s">
        <v>132</v>
      </c>
      <c r="D73" t="s">
        <v>135</v>
      </c>
      <c r="E73" s="7">
        <v>1269</v>
      </c>
      <c r="F73" s="7">
        <v>139</v>
      </c>
      <c r="G73" s="7">
        <v>65</v>
      </c>
      <c r="H73" s="3">
        <f>F73/E73</f>
        <v>0.1095350669818755</v>
      </c>
      <c r="I73" s="3">
        <f>G73/F73</f>
        <v>0.46762589928057552</v>
      </c>
    </row>
    <row r="74" spans="1:9" x14ac:dyDescent="0.3">
      <c r="A74" t="s">
        <v>79</v>
      </c>
      <c r="B74" t="s">
        <v>129</v>
      </c>
      <c r="C74" t="s">
        <v>132</v>
      </c>
      <c r="D74" t="s">
        <v>136</v>
      </c>
      <c r="E74" s="7">
        <v>3660</v>
      </c>
      <c r="F74" s="7">
        <v>636</v>
      </c>
      <c r="G74" s="7">
        <v>122</v>
      </c>
      <c r="H74" s="3">
        <f>F74/E74</f>
        <v>0.17377049180327869</v>
      </c>
      <c r="I74" s="3">
        <f>G74/F74</f>
        <v>0.1918238993710692</v>
      </c>
    </row>
    <row r="75" spans="1:9" x14ac:dyDescent="0.3">
      <c r="A75" t="s">
        <v>80</v>
      </c>
      <c r="B75" t="s">
        <v>131</v>
      </c>
      <c r="C75" t="s">
        <v>134</v>
      </c>
      <c r="D75" t="s">
        <v>135</v>
      </c>
      <c r="E75" s="7">
        <v>4907</v>
      </c>
      <c r="F75" s="7">
        <v>1462</v>
      </c>
      <c r="G75" s="7">
        <v>720</v>
      </c>
      <c r="H75" s="3">
        <f>F75/E75</f>
        <v>0.2979417159160383</v>
      </c>
      <c r="I75" s="3">
        <f>G75/F75</f>
        <v>0.49247606019151846</v>
      </c>
    </row>
    <row r="76" spans="1:9" x14ac:dyDescent="0.3">
      <c r="A76" t="s">
        <v>81</v>
      </c>
      <c r="B76" t="s">
        <v>131</v>
      </c>
      <c r="C76" t="s">
        <v>132</v>
      </c>
      <c r="D76" t="s">
        <v>135</v>
      </c>
      <c r="E76" s="7">
        <v>1915</v>
      </c>
      <c r="F76" s="7">
        <v>279</v>
      </c>
      <c r="G76" s="7">
        <v>54</v>
      </c>
      <c r="H76" s="3">
        <f>F76/E76</f>
        <v>0.14569190600522194</v>
      </c>
      <c r="I76" s="3">
        <f>G76/F76</f>
        <v>0.19354838709677419</v>
      </c>
    </row>
    <row r="77" spans="1:9" x14ac:dyDescent="0.3">
      <c r="A77" t="s">
        <v>82</v>
      </c>
      <c r="B77" t="s">
        <v>127</v>
      </c>
      <c r="C77" t="s">
        <v>132</v>
      </c>
      <c r="D77" t="s">
        <v>136</v>
      </c>
      <c r="E77" s="7">
        <v>1764</v>
      </c>
      <c r="F77" s="7">
        <v>233</v>
      </c>
      <c r="G77" s="7">
        <v>97</v>
      </c>
      <c r="H77" s="3">
        <f>F77/E77</f>
        <v>0.13208616780045351</v>
      </c>
      <c r="I77" s="3">
        <f>G77/F77</f>
        <v>0.41630901287553645</v>
      </c>
    </row>
    <row r="78" spans="1:9" x14ac:dyDescent="0.3">
      <c r="A78" t="s">
        <v>83</v>
      </c>
      <c r="B78" t="s">
        <v>127</v>
      </c>
      <c r="C78" t="s">
        <v>132</v>
      </c>
      <c r="D78" t="s">
        <v>136</v>
      </c>
      <c r="E78" s="7">
        <v>2049</v>
      </c>
      <c r="F78" s="7">
        <v>613</v>
      </c>
      <c r="G78" s="7">
        <v>199</v>
      </c>
      <c r="H78" s="3">
        <f>F78/E78</f>
        <v>0.29917032698877499</v>
      </c>
      <c r="I78" s="3">
        <f>G78/F78</f>
        <v>0.32463295269168024</v>
      </c>
    </row>
    <row r="79" spans="1:9" x14ac:dyDescent="0.3">
      <c r="A79" t="s">
        <v>84</v>
      </c>
      <c r="B79" t="s">
        <v>129</v>
      </c>
      <c r="C79" t="s">
        <v>132</v>
      </c>
      <c r="D79" t="s">
        <v>136</v>
      </c>
      <c r="E79" s="7">
        <v>2042</v>
      </c>
      <c r="F79" s="7">
        <v>457</v>
      </c>
      <c r="G79" s="7">
        <v>96</v>
      </c>
      <c r="H79" s="3">
        <f>F79/E79</f>
        <v>0.22380019588638589</v>
      </c>
      <c r="I79" s="3">
        <f>G79/F79</f>
        <v>0.21006564551422319</v>
      </c>
    </row>
    <row r="80" spans="1:9" x14ac:dyDescent="0.3">
      <c r="A80" t="s">
        <v>85</v>
      </c>
      <c r="B80" t="s">
        <v>128</v>
      </c>
      <c r="C80" t="s">
        <v>134</v>
      </c>
      <c r="D80" t="s">
        <v>135</v>
      </c>
      <c r="E80" s="7">
        <v>2298</v>
      </c>
      <c r="F80" s="7">
        <v>355</v>
      </c>
      <c r="G80" s="7">
        <v>167</v>
      </c>
      <c r="H80" s="3">
        <f>F80/E80</f>
        <v>0.15448215839860749</v>
      </c>
      <c r="I80" s="3">
        <f>G80/F80</f>
        <v>0.47042253521126759</v>
      </c>
    </row>
    <row r="81" spans="1:9" x14ac:dyDescent="0.3">
      <c r="A81" t="s">
        <v>86</v>
      </c>
      <c r="B81" t="s">
        <v>131</v>
      </c>
      <c r="C81" t="s">
        <v>133</v>
      </c>
      <c r="D81" t="s">
        <v>136</v>
      </c>
      <c r="E81" s="7">
        <v>4889</v>
      </c>
      <c r="F81" s="7">
        <v>1352</v>
      </c>
      <c r="G81" s="7">
        <v>263</v>
      </c>
      <c r="H81" s="3">
        <f>F81/E81</f>
        <v>0.27653916956432806</v>
      </c>
      <c r="I81" s="3">
        <f>G81/F81</f>
        <v>0.19452662721893491</v>
      </c>
    </row>
    <row r="82" spans="1:9" x14ac:dyDescent="0.3">
      <c r="A82" t="s">
        <v>87</v>
      </c>
      <c r="B82" t="s">
        <v>131</v>
      </c>
      <c r="C82" t="s">
        <v>134</v>
      </c>
      <c r="D82" t="s">
        <v>135</v>
      </c>
      <c r="E82" s="7">
        <v>733</v>
      </c>
      <c r="F82" s="7">
        <v>191</v>
      </c>
      <c r="G82" s="7">
        <v>67</v>
      </c>
      <c r="H82" s="3">
        <f>F82/E82</f>
        <v>0.26057298772169168</v>
      </c>
      <c r="I82" s="3">
        <f>G82/F82</f>
        <v>0.35078534031413611</v>
      </c>
    </row>
    <row r="83" spans="1:9" x14ac:dyDescent="0.3">
      <c r="A83" t="s">
        <v>88</v>
      </c>
      <c r="B83" t="s">
        <v>129</v>
      </c>
      <c r="C83" t="s">
        <v>134</v>
      </c>
      <c r="D83" t="s">
        <v>135</v>
      </c>
      <c r="E83" s="7">
        <v>642</v>
      </c>
      <c r="F83" s="7">
        <v>149</v>
      </c>
      <c r="G83" s="7">
        <v>25</v>
      </c>
      <c r="H83" s="3">
        <f>F83/E83</f>
        <v>0.23208722741433022</v>
      </c>
      <c r="I83" s="3">
        <f>G83/F83</f>
        <v>0.16778523489932887</v>
      </c>
    </row>
    <row r="84" spans="1:9" x14ac:dyDescent="0.3">
      <c r="A84" t="s">
        <v>89</v>
      </c>
      <c r="B84" t="s">
        <v>130</v>
      </c>
      <c r="C84" t="s">
        <v>133</v>
      </c>
      <c r="D84" t="s">
        <v>136</v>
      </c>
      <c r="E84" s="7">
        <v>1861</v>
      </c>
      <c r="F84" s="7">
        <v>316</v>
      </c>
      <c r="G84" s="7">
        <v>133</v>
      </c>
      <c r="H84" s="3">
        <f>F84/E84</f>
        <v>0.16980118216012896</v>
      </c>
      <c r="I84" s="3">
        <f>G84/F84</f>
        <v>0.42088607594936711</v>
      </c>
    </row>
    <row r="85" spans="1:9" x14ac:dyDescent="0.3">
      <c r="A85" t="s">
        <v>90</v>
      </c>
      <c r="B85" t="s">
        <v>130</v>
      </c>
      <c r="C85" t="s">
        <v>133</v>
      </c>
      <c r="D85" t="s">
        <v>135</v>
      </c>
      <c r="E85" s="7">
        <v>3985</v>
      </c>
      <c r="F85" s="7">
        <v>204</v>
      </c>
      <c r="G85" s="7">
        <v>121</v>
      </c>
      <c r="H85" s="3">
        <f>F85/E85</f>
        <v>5.1191969887076534E-2</v>
      </c>
      <c r="I85" s="3">
        <f>G85/F85</f>
        <v>0.59313725490196079</v>
      </c>
    </row>
    <row r="86" spans="1:9" x14ac:dyDescent="0.3">
      <c r="A86" t="s">
        <v>91</v>
      </c>
      <c r="B86" t="s">
        <v>131</v>
      </c>
      <c r="C86" t="s">
        <v>134</v>
      </c>
      <c r="D86" t="s">
        <v>136</v>
      </c>
      <c r="E86" s="7">
        <v>708</v>
      </c>
      <c r="F86" s="7">
        <v>167</v>
      </c>
      <c r="G86" s="7">
        <v>56</v>
      </c>
      <c r="H86" s="3">
        <f>F86/E86</f>
        <v>0.23587570621468926</v>
      </c>
      <c r="I86" s="3">
        <f>G86/F86</f>
        <v>0.33532934131736525</v>
      </c>
    </row>
    <row r="87" spans="1:9" x14ac:dyDescent="0.3">
      <c r="A87" t="s">
        <v>92</v>
      </c>
      <c r="B87" t="s">
        <v>127</v>
      </c>
      <c r="C87" t="s">
        <v>134</v>
      </c>
      <c r="D87" t="s">
        <v>135</v>
      </c>
      <c r="E87" s="7">
        <v>1406</v>
      </c>
      <c r="F87" s="7">
        <v>77</v>
      </c>
      <c r="G87" s="7">
        <v>7</v>
      </c>
      <c r="H87" s="3">
        <f>F87/E87</f>
        <v>5.476529160739687E-2</v>
      </c>
      <c r="I87" s="3">
        <f>G87/F87</f>
        <v>9.0909090909090912E-2</v>
      </c>
    </row>
    <row r="88" spans="1:9" x14ac:dyDescent="0.3">
      <c r="A88" t="s">
        <v>93</v>
      </c>
      <c r="B88" t="s">
        <v>128</v>
      </c>
      <c r="C88" t="s">
        <v>133</v>
      </c>
      <c r="D88" t="s">
        <v>136</v>
      </c>
      <c r="E88" s="7">
        <v>2026</v>
      </c>
      <c r="F88" s="7">
        <v>483</v>
      </c>
      <c r="G88" s="7">
        <v>218</v>
      </c>
      <c r="H88" s="3">
        <f>F88/E88</f>
        <v>0.23840078973346496</v>
      </c>
      <c r="I88" s="3">
        <f>G88/F88</f>
        <v>0.45134575569358176</v>
      </c>
    </row>
    <row r="89" spans="1:9" x14ac:dyDescent="0.3">
      <c r="A89" t="s">
        <v>94</v>
      </c>
      <c r="B89" t="s">
        <v>130</v>
      </c>
      <c r="C89" t="s">
        <v>134</v>
      </c>
      <c r="D89" t="s">
        <v>136</v>
      </c>
      <c r="E89" s="7">
        <v>1718</v>
      </c>
      <c r="F89" s="7">
        <v>505</v>
      </c>
      <c r="G89" s="7">
        <v>217</v>
      </c>
      <c r="H89" s="3">
        <f>F89/E89</f>
        <v>0.29394644935972059</v>
      </c>
      <c r="I89" s="3">
        <f>G89/F89</f>
        <v>0.4297029702970297</v>
      </c>
    </row>
    <row r="90" spans="1:9" x14ac:dyDescent="0.3">
      <c r="A90" t="s">
        <v>95</v>
      </c>
      <c r="B90" t="s">
        <v>129</v>
      </c>
      <c r="C90" t="s">
        <v>132</v>
      </c>
      <c r="D90" t="s">
        <v>136</v>
      </c>
      <c r="E90" s="7">
        <v>1096</v>
      </c>
      <c r="F90" s="7">
        <v>237</v>
      </c>
      <c r="G90" s="7">
        <v>27</v>
      </c>
      <c r="H90" s="3">
        <f>F90/E90</f>
        <v>0.21624087591240876</v>
      </c>
      <c r="I90" s="3">
        <f>G90/F90</f>
        <v>0.11392405063291139</v>
      </c>
    </row>
    <row r="91" spans="1:9" x14ac:dyDescent="0.3">
      <c r="A91" t="s">
        <v>96</v>
      </c>
      <c r="B91" t="s">
        <v>127</v>
      </c>
      <c r="C91" t="s">
        <v>133</v>
      </c>
      <c r="D91" t="s">
        <v>135</v>
      </c>
      <c r="E91" s="7">
        <v>4472</v>
      </c>
      <c r="F91" s="7">
        <v>568</v>
      </c>
      <c r="G91" s="7">
        <v>177</v>
      </c>
      <c r="H91" s="3">
        <f>F91/E91</f>
        <v>0.12701252236135957</v>
      </c>
      <c r="I91" s="3">
        <f>G91/F91</f>
        <v>0.31161971830985913</v>
      </c>
    </row>
    <row r="92" spans="1:9" x14ac:dyDescent="0.3">
      <c r="A92" t="s">
        <v>97</v>
      </c>
      <c r="B92" t="s">
        <v>128</v>
      </c>
      <c r="C92" t="s">
        <v>133</v>
      </c>
      <c r="D92" t="s">
        <v>136</v>
      </c>
      <c r="E92" s="7">
        <v>4920</v>
      </c>
      <c r="F92" s="7">
        <v>669</v>
      </c>
      <c r="G92" s="7">
        <v>233</v>
      </c>
      <c r="H92" s="3">
        <f>F92/E92</f>
        <v>0.13597560975609757</v>
      </c>
      <c r="I92" s="3">
        <f>G92/F92</f>
        <v>0.34828101644245141</v>
      </c>
    </row>
    <row r="93" spans="1:9" x14ac:dyDescent="0.3">
      <c r="A93" t="s">
        <v>98</v>
      </c>
      <c r="B93" t="s">
        <v>127</v>
      </c>
      <c r="C93" t="s">
        <v>133</v>
      </c>
      <c r="D93" t="s">
        <v>135</v>
      </c>
      <c r="E93" s="7">
        <v>2469</v>
      </c>
      <c r="F93" s="7">
        <v>176</v>
      </c>
      <c r="G93" s="7">
        <v>76</v>
      </c>
      <c r="H93" s="3">
        <f>F93/E93</f>
        <v>7.1283920615633864E-2</v>
      </c>
      <c r="I93" s="3">
        <f>G93/F93</f>
        <v>0.43181818181818182</v>
      </c>
    </row>
    <row r="94" spans="1:9" x14ac:dyDescent="0.3">
      <c r="A94" t="s">
        <v>99</v>
      </c>
      <c r="B94" t="s">
        <v>130</v>
      </c>
      <c r="C94" t="s">
        <v>132</v>
      </c>
      <c r="D94" t="s">
        <v>136</v>
      </c>
      <c r="E94" s="7">
        <v>4514</v>
      </c>
      <c r="F94" s="7">
        <v>288</v>
      </c>
      <c r="G94" s="7">
        <v>71</v>
      </c>
      <c r="H94" s="3">
        <f>F94/E94</f>
        <v>6.3801506424457241E-2</v>
      </c>
      <c r="I94" s="3">
        <f>G94/F94</f>
        <v>0.24652777777777779</v>
      </c>
    </row>
    <row r="95" spans="1:9" x14ac:dyDescent="0.3">
      <c r="A95" t="s">
        <v>100</v>
      </c>
      <c r="B95" t="s">
        <v>131</v>
      </c>
      <c r="C95" t="s">
        <v>134</v>
      </c>
      <c r="D95" t="s">
        <v>136</v>
      </c>
      <c r="E95" s="7">
        <v>4565</v>
      </c>
      <c r="F95" s="7">
        <v>913</v>
      </c>
      <c r="G95" s="7">
        <v>177</v>
      </c>
      <c r="H95" s="3">
        <f>F95/E95</f>
        <v>0.2</v>
      </c>
      <c r="I95" s="3">
        <f>G95/F95</f>
        <v>0.19386637458926614</v>
      </c>
    </row>
    <row r="96" spans="1:9" x14ac:dyDescent="0.3">
      <c r="A96" t="s">
        <v>101</v>
      </c>
      <c r="B96" t="s">
        <v>128</v>
      </c>
      <c r="C96" t="s">
        <v>134</v>
      </c>
      <c r="D96" t="s">
        <v>135</v>
      </c>
      <c r="E96" s="7">
        <v>3772</v>
      </c>
      <c r="F96" s="7">
        <v>784</v>
      </c>
      <c r="G96" s="7">
        <v>373</v>
      </c>
      <c r="H96" s="3">
        <f>F96/E96</f>
        <v>0.20784729586426298</v>
      </c>
      <c r="I96" s="3">
        <f>G96/F96</f>
        <v>0.47576530612244899</v>
      </c>
    </row>
    <row r="97" spans="1:9" x14ac:dyDescent="0.3">
      <c r="A97" t="s">
        <v>102</v>
      </c>
      <c r="B97" t="s">
        <v>130</v>
      </c>
      <c r="C97" t="s">
        <v>132</v>
      </c>
      <c r="D97" t="s">
        <v>135</v>
      </c>
      <c r="E97" s="7">
        <v>2880</v>
      </c>
      <c r="F97" s="7">
        <v>166</v>
      </c>
      <c r="G97" s="7">
        <v>94</v>
      </c>
      <c r="H97" s="3">
        <f>F97/E97</f>
        <v>5.7638888888888892E-2</v>
      </c>
      <c r="I97" s="3">
        <f>G97/F97</f>
        <v>0.5662650602409639</v>
      </c>
    </row>
    <row r="98" spans="1:9" x14ac:dyDescent="0.3">
      <c r="A98" t="s">
        <v>103</v>
      </c>
      <c r="B98" t="s">
        <v>131</v>
      </c>
      <c r="C98" t="s">
        <v>134</v>
      </c>
      <c r="D98" t="s">
        <v>136</v>
      </c>
      <c r="E98" s="7">
        <v>4295</v>
      </c>
      <c r="F98" s="7">
        <v>250</v>
      </c>
      <c r="G98" s="7">
        <v>33</v>
      </c>
      <c r="H98" s="3">
        <f>F98/E98</f>
        <v>5.8207217694994179E-2</v>
      </c>
      <c r="I98" s="3">
        <f>G98/F98</f>
        <v>0.13200000000000001</v>
      </c>
    </row>
    <row r="99" spans="1:9" x14ac:dyDescent="0.3">
      <c r="A99" t="s">
        <v>104</v>
      </c>
      <c r="B99" t="s">
        <v>131</v>
      </c>
      <c r="C99" t="s">
        <v>132</v>
      </c>
      <c r="D99" t="s">
        <v>135</v>
      </c>
      <c r="E99" s="7">
        <v>1071</v>
      </c>
      <c r="F99" s="7">
        <v>265</v>
      </c>
      <c r="G99" s="7">
        <v>144</v>
      </c>
      <c r="H99" s="3">
        <f>F99/E99</f>
        <v>0.24743230625583568</v>
      </c>
      <c r="I99" s="3">
        <f>G99/F99</f>
        <v>0.54339622641509433</v>
      </c>
    </row>
    <row r="100" spans="1:9" x14ac:dyDescent="0.3">
      <c r="A100" t="s">
        <v>105</v>
      </c>
      <c r="B100" t="s">
        <v>130</v>
      </c>
      <c r="C100" t="s">
        <v>133</v>
      </c>
      <c r="D100" t="s">
        <v>136</v>
      </c>
      <c r="E100" s="7">
        <v>2774</v>
      </c>
      <c r="F100" s="7">
        <v>495</v>
      </c>
      <c r="G100" s="7">
        <v>116</v>
      </c>
      <c r="H100" s="3">
        <f>F100/E100</f>
        <v>0.17844268204758471</v>
      </c>
      <c r="I100" s="3">
        <f>G100/F100</f>
        <v>0.23434343434343435</v>
      </c>
    </row>
    <row r="101" spans="1:9" x14ac:dyDescent="0.3">
      <c r="A101" t="s">
        <v>106</v>
      </c>
      <c r="B101" t="s">
        <v>131</v>
      </c>
      <c r="C101" t="s">
        <v>132</v>
      </c>
      <c r="D101" t="s">
        <v>136</v>
      </c>
      <c r="E101" s="7">
        <v>595</v>
      </c>
      <c r="F101" s="7">
        <v>30</v>
      </c>
      <c r="G101" s="7">
        <v>3</v>
      </c>
      <c r="H101" s="3">
        <f>F101/E101</f>
        <v>5.0420168067226892E-2</v>
      </c>
      <c r="I101" s="3">
        <f>G101/F101</f>
        <v>0.1</v>
      </c>
    </row>
    <row r="102" spans="1:9" x14ac:dyDescent="0.3">
      <c r="A102" t="s">
        <v>107</v>
      </c>
      <c r="B102" t="s">
        <v>130</v>
      </c>
      <c r="C102" t="s">
        <v>133</v>
      </c>
      <c r="D102" t="s">
        <v>136</v>
      </c>
      <c r="E102" s="7">
        <v>1240</v>
      </c>
      <c r="F102" s="7">
        <v>210</v>
      </c>
      <c r="G102" s="7">
        <v>50</v>
      </c>
      <c r="H102" s="3">
        <f>F102/E102</f>
        <v>0.16935483870967741</v>
      </c>
      <c r="I102" s="3">
        <f>G102/F102</f>
        <v>0.23809523809523808</v>
      </c>
    </row>
    <row r="103" spans="1:9" x14ac:dyDescent="0.3">
      <c r="A103" t="s">
        <v>108</v>
      </c>
      <c r="B103" t="s">
        <v>130</v>
      </c>
      <c r="C103" t="s">
        <v>133</v>
      </c>
      <c r="D103" t="s">
        <v>135</v>
      </c>
      <c r="E103" s="7">
        <v>1051</v>
      </c>
      <c r="F103" s="7">
        <v>81</v>
      </c>
      <c r="G103" s="7">
        <v>9</v>
      </c>
      <c r="H103" s="3">
        <f>F103/E103</f>
        <v>7.7069457659372023E-2</v>
      </c>
      <c r="I103" s="3">
        <f>G103/F103</f>
        <v>0.1111111111111111</v>
      </c>
    </row>
    <row r="104" spans="1:9" x14ac:dyDescent="0.3">
      <c r="A104" t="s">
        <v>109</v>
      </c>
      <c r="B104" t="s">
        <v>130</v>
      </c>
      <c r="C104" t="s">
        <v>133</v>
      </c>
      <c r="D104" t="s">
        <v>136</v>
      </c>
      <c r="E104" s="7">
        <v>2808</v>
      </c>
      <c r="F104" s="7">
        <v>510</v>
      </c>
      <c r="G104" s="7">
        <v>147</v>
      </c>
      <c r="H104" s="3">
        <f>F104/E104</f>
        <v>0.18162393162393162</v>
      </c>
      <c r="I104" s="3">
        <f>G104/F104</f>
        <v>0.28823529411764703</v>
      </c>
    </row>
    <row r="105" spans="1:9" x14ac:dyDescent="0.3">
      <c r="A105" t="s">
        <v>110</v>
      </c>
      <c r="B105" t="s">
        <v>130</v>
      </c>
      <c r="C105" t="s">
        <v>134</v>
      </c>
      <c r="D105" t="s">
        <v>135</v>
      </c>
      <c r="E105" s="7">
        <v>3915</v>
      </c>
      <c r="F105" s="7">
        <v>650</v>
      </c>
      <c r="G105" s="7">
        <v>324</v>
      </c>
      <c r="H105" s="3">
        <f>F105/E105</f>
        <v>0.16602809706257982</v>
      </c>
      <c r="I105" s="3">
        <f>G105/F105</f>
        <v>0.49846153846153846</v>
      </c>
    </row>
    <row r="106" spans="1:9" x14ac:dyDescent="0.3">
      <c r="A106" t="s">
        <v>111</v>
      </c>
      <c r="B106" t="s">
        <v>127</v>
      </c>
      <c r="C106" t="s">
        <v>133</v>
      </c>
      <c r="D106" t="s">
        <v>135</v>
      </c>
      <c r="E106" s="7">
        <v>4165</v>
      </c>
      <c r="F106" s="7">
        <v>1177</v>
      </c>
      <c r="G106" s="7">
        <v>425</v>
      </c>
      <c r="H106" s="3">
        <f>F106/E106</f>
        <v>0.28259303721488593</v>
      </c>
      <c r="I106" s="3">
        <f>G106/F106</f>
        <v>0.36108751062022088</v>
      </c>
    </row>
    <row r="107" spans="1:9" x14ac:dyDescent="0.3">
      <c r="A107" t="s">
        <v>112</v>
      </c>
      <c r="B107" t="s">
        <v>130</v>
      </c>
      <c r="C107" t="s">
        <v>133</v>
      </c>
      <c r="D107" t="s">
        <v>135</v>
      </c>
      <c r="E107" s="7">
        <v>2338</v>
      </c>
      <c r="F107" s="7">
        <v>353</v>
      </c>
      <c r="G107" s="7">
        <v>180</v>
      </c>
      <c r="H107" s="3">
        <f>F107/E107</f>
        <v>0.15098374679213003</v>
      </c>
      <c r="I107" s="3">
        <f>G107/F107</f>
        <v>0.50991501416430596</v>
      </c>
    </row>
    <row r="108" spans="1:9" x14ac:dyDescent="0.3">
      <c r="A108" t="s">
        <v>113</v>
      </c>
      <c r="B108" t="s">
        <v>131</v>
      </c>
      <c r="C108" t="s">
        <v>134</v>
      </c>
      <c r="D108" t="s">
        <v>136</v>
      </c>
      <c r="E108" s="7">
        <v>3410</v>
      </c>
      <c r="F108" s="7">
        <v>671</v>
      </c>
      <c r="G108" s="7">
        <v>396</v>
      </c>
      <c r="H108" s="3">
        <f>F108/E108</f>
        <v>0.1967741935483871</v>
      </c>
      <c r="I108" s="3">
        <f>G108/F108</f>
        <v>0.5901639344262295</v>
      </c>
    </row>
    <row r="109" spans="1:9" x14ac:dyDescent="0.3">
      <c r="A109" t="s">
        <v>114</v>
      </c>
      <c r="B109" t="s">
        <v>128</v>
      </c>
      <c r="C109" t="s">
        <v>134</v>
      </c>
      <c r="D109" t="s">
        <v>136</v>
      </c>
      <c r="E109" s="7">
        <v>2572</v>
      </c>
      <c r="F109" s="7">
        <v>459</v>
      </c>
      <c r="G109" s="7">
        <v>140</v>
      </c>
      <c r="H109" s="3">
        <f>F109/E109</f>
        <v>0.17846034214618975</v>
      </c>
      <c r="I109" s="3">
        <f>G109/F109</f>
        <v>0.30501089324618735</v>
      </c>
    </row>
    <row r="110" spans="1:9" x14ac:dyDescent="0.3">
      <c r="A110" t="s">
        <v>115</v>
      </c>
      <c r="B110" t="s">
        <v>127</v>
      </c>
      <c r="C110" t="s">
        <v>134</v>
      </c>
      <c r="D110" t="s">
        <v>135</v>
      </c>
      <c r="E110" s="7">
        <v>4098</v>
      </c>
      <c r="F110" s="7">
        <v>1227</v>
      </c>
      <c r="G110" s="7">
        <v>265</v>
      </c>
      <c r="H110" s="3">
        <f>F110/E110</f>
        <v>0.29941434846266474</v>
      </c>
      <c r="I110" s="3">
        <f>G110/F110</f>
        <v>0.21597392013039934</v>
      </c>
    </row>
    <row r="111" spans="1:9" x14ac:dyDescent="0.3">
      <c r="A111" t="s">
        <v>116</v>
      </c>
      <c r="B111" t="s">
        <v>129</v>
      </c>
      <c r="C111" t="s">
        <v>133</v>
      </c>
      <c r="D111" t="s">
        <v>136</v>
      </c>
      <c r="E111" s="7">
        <v>4313</v>
      </c>
      <c r="F111" s="7">
        <v>284</v>
      </c>
      <c r="G111" s="7">
        <v>168</v>
      </c>
      <c r="H111" s="3">
        <f>F111/E111</f>
        <v>6.5847437978205428E-2</v>
      </c>
      <c r="I111" s="3">
        <f>G111/F111</f>
        <v>0.59154929577464788</v>
      </c>
    </row>
    <row r="112" spans="1:9" x14ac:dyDescent="0.3">
      <c r="A112" t="s">
        <v>117</v>
      </c>
      <c r="B112" t="s">
        <v>130</v>
      </c>
      <c r="C112" t="s">
        <v>133</v>
      </c>
      <c r="D112" t="s">
        <v>135</v>
      </c>
      <c r="E112" s="7">
        <v>2433</v>
      </c>
      <c r="F112" s="7">
        <v>420</v>
      </c>
      <c r="G112" s="7">
        <v>110</v>
      </c>
      <c r="H112" s="3">
        <f>F112/E112</f>
        <v>0.17262638717632553</v>
      </c>
      <c r="I112" s="3">
        <f>G112/F112</f>
        <v>0.26190476190476192</v>
      </c>
    </row>
    <row r="113" spans="1:9" x14ac:dyDescent="0.3">
      <c r="A113" t="s">
        <v>118</v>
      </c>
      <c r="B113" t="s">
        <v>129</v>
      </c>
      <c r="C113" t="s">
        <v>132</v>
      </c>
      <c r="D113" t="s">
        <v>136</v>
      </c>
      <c r="E113" s="7">
        <v>4980</v>
      </c>
      <c r="F113" s="7">
        <v>931</v>
      </c>
      <c r="G113" s="7">
        <v>237</v>
      </c>
      <c r="H113" s="3">
        <f>F113/E113</f>
        <v>0.18694779116465862</v>
      </c>
      <c r="I113" s="3">
        <f>G113/F113</f>
        <v>0.25456498388829218</v>
      </c>
    </row>
    <row r="114" spans="1:9" x14ac:dyDescent="0.3">
      <c r="A114" t="s">
        <v>119</v>
      </c>
      <c r="B114" t="s">
        <v>130</v>
      </c>
      <c r="C114" t="s">
        <v>134</v>
      </c>
      <c r="D114" t="s">
        <v>135</v>
      </c>
      <c r="E114" s="7">
        <v>1563</v>
      </c>
      <c r="F114" s="7">
        <v>377</v>
      </c>
      <c r="G114" s="7">
        <v>96</v>
      </c>
      <c r="H114" s="3">
        <f>F114/E114</f>
        <v>0.24120281509916827</v>
      </c>
      <c r="I114" s="3">
        <f>G114/F114</f>
        <v>0.25464190981432361</v>
      </c>
    </row>
    <row r="115" spans="1:9" x14ac:dyDescent="0.3">
      <c r="A115" t="s">
        <v>120</v>
      </c>
      <c r="B115" t="s">
        <v>127</v>
      </c>
      <c r="C115" t="s">
        <v>133</v>
      </c>
      <c r="D115" t="s">
        <v>136</v>
      </c>
      <c r="E115" s="7">
        <v>704</v>
      </c>
      <c r="F115" s="7">
        <v>155</v>
      </c>
      <c r="G115" s="7">
        <v>41</v>
      </c>
      <c r="H115" s="3">
        <f>F115/E115</f>
        <v>0.22017045454545456</v>
      </c>
      <c r="I115" s="3">
        <f>G115/F115</f>
        <v>0.26451612903225807</v>
      </c>
    </row>
    <row r="116" spans="1:9" x14ac:dyDescent="0.3">
      <c r="A116" t="s">
        <v>121</v>
      </c>
      <c r="B116" t="s">
        <v>127</v>
      </c>
      <c r="C116" t="s">
        <v>134</v>
      </c>
      <c r="D116" t="s">
        <v>135</v>
      </c>
      <c r="E116" s="7">
        <v>1838</v>
      </c>
      <c r="F116" s="7">
        <v>237</v>
      </c>
      <c r="G116" s="7">
        <v>98</v>
      </c>
      <c r="H116" s="3">
        <f>F116/E116</f>
        <v>0.12894450489662676</v>
      </c>
      <c r="I116" s="3">
        <f>G116/F116</f>
        <v>0.41350210970464135</v>
      </c>
    </row>
    <row r="117" spans="1:9" x14ac:dyDescent="0.3">
      <c r="A117" t="s">
        <v>122</v>
      </c>
      <c r="B117" t="s">
        <v>127</v>
      </c>
      <c r="C117" t="s">
        <v>132</v>
      </c>
      <c r="D117" t="s">
        <v>135</v>
      </c>
      <c r="E117" s="7">
        <v>3879</v>
      </c>
      <c r="F117" s="7">
        <v>587</v>
      </c>
      <c r="G117" s="7">
        <v>143</v>
      </c>
      <c r="H117" s="3">
        <f>F117/E117</f>
        <v>0.15132766176849705</v>
      </c>
      <c r="I117" s="3">
        <f>G117/F117</f>
        <v>0.24361158432708688</v>
      </c>
    </row>
    <row r="118" spans="1:9" x14ac:dyDescent="0.3">
      <c r="A118" t="s">
        <v>123</v>
      </c>
      <c r="B118" t="s">
        <v>130</v>
      </c>
      <c r="C118" t="s">
        <v>134</v>
      </c>
      <c r="D118" t="s">
        <v>135</v>
      </c>
      <c r="E118" s="7">
        <v>3397</v>
      </c>
      <c r="F118" s="7">
        <v>745</v>
      </c>
      <c r="G118" s="7">
        <v>260</v>
      </c>
      <c r="H118" s="3">
        <f>F118/E118</f>
        <v>0.21931115690314984</v>
      </c>
      <c r="I118" s="3">
        <f>G118/F118</f>
        <v>0.34899328859060402</v>
      </c>
    </row>
    <row r="119" spans="1:9" x14ac:dyDescent="0.3">
      <c r="A119" t="s">
        <v>124</v>
      </c>
      <c r="B119" t="s">
        <v>131</v>
      </c>
      <c r="C119" t="s">
        <v>132</v>
      </c>
      <c r="D119" t="s">
        <v>135</v>
      </c>
      <c r="E119" s="7">
        <v>4425</v>
      </c>
      <c r="F119" s="7">
        <v>997</v>
      </c>
      <c r="G119" s="7">
        <v>455</v>
      </c>
      <c r="H119" s="3">
        <f>F119/E119</f>
        <v>0.22531073446327685</v>
      </c>
      <c r="I119" s="3">
        <f>G119/F119</f>
        <v>0.45636910732196589</v>
      </c>
    </row>
    <row r="120" spans="1:9" x14ac:dyDescent="0.3">
      <c r="A120" t="s">
        <v>125</v>
      </c>
      <c r="B120" t="s">
        <v>127</v>
      </c>
      <c r="C120" t="s">
        <v>133</v>
      </c>
      <c r="D120" t="s">
        <v>136</v>
      </c>
      <c r="E120" s="7">
        <v>2749</v>
      </c>
      <c r="F120" s="7">
        <v>660</v>
      </c>
      <c r="G120" s="7">
        <v>351</v>
      </c>
      <c r="H120" s="3">
        <f>F120/E120</f>
        <v>0.24008730447435431</v>
      </c>
      <c r="I120" s="3">
        <f>G120/F120</f>
        <v>0.53181818181818186</v>
      </c>
    </row>
    <row r="121" spans="1:9" x14ac:dyDescent="0.3">
      <c r="A121" t="s">
        <v>126</v>
      </c>
      <c r="B121" t="s">
        <v>131</v>
      </c>
      <c r="C121" t="s">
        <v>133</v>
      </c>
      <c r="D121" t="s">
        <v>135</v>
      </c>
      <c r="E121" s="7">
        <v>3355</v>
      </c>
      <c r="F121" s="7">
        <v>913</v>
      </c>
      <c r="G121" s="7">
        <v>464</v>
      </c>
      <c r="H121" s="3">
        <f>F121/E121</f>
        <v>0.27213114754098361</v>
      </c>
      <c r="I121" s="3">
        <f>G121/F121</f>
        <v>0.50821467688937572</v>
      </c>
    </row>
    <row r="122" spans="1:9" x14ac:dyDescent="0.3">
      <c r="E122" s="7"/>
      <c r="F122" s="7"/>
      <c r="G122" s="7"/>
    </row>
    <row r="123" spans="1:9" x14ac:dyDescent="0.3">
      <c r="E123" s="7"/>
    </row>
    <row r="127" spans="1:9" x14ac:dyDescent="0.3">
      <c r="E127" t="s">
        <v>139</v>
      </c>
      <c r="F127">
        <f>SUM(E2:E121)</f>
        <v>337435</v>
      </c>
    </row>
    <row r="128" spans="1:9" x14ac:dyDescent="0.3">
      <c r="E128" t="s">
        <v>140</v>
      </c>
      <c r="F128">
        <f>SUM(F2:F121)</f>
        <v>56405</v>
      </c>
    </row>
    <row r="129" spans="5:6" x14ac:dyDescent="0.3">
      <c r="E129" t="s">
        <v>141</v>
      </c>
      <c r="F129">
        <f>SUM(G2:G121)</f>
        <v>20124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ramyamoorthy823@outlook.com</cp:lastModifiedBy>
  <dcterms:created xsi:type="dcterms:W3CDTF">2026-04-05T02:36:56Z</dcterms:created>
  <dcterms:modified xsi:type="dcterms:W3CDTF">2026-04-05T05:09:49Z</dcterms:modified>
</cp:coreProperties>
</file>